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4"/>
  </bookViews>
  <sheets>
    <sheet name="NCKU+KVGH" sheetId="1" r:id="rId1"/>
    <sheet name="20211101_NCKU" sheetId="3" r:id="rId2"/>
    <sheet name="20211104_KVGH" sheetId="4" r:id="rId3"/>
    <sheet name="工作表2" sheetId="5" r:id="rId4"/>
    <sheet name="20211105_MIX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6" l="1"/>
  <c r="L49" i="6"/>
  <c r="M49" i="6"/>
  <c r="N49" i="6"/>
  <c r="O49" i="6"/>
  <c r="H49" i="6"/>
  <c r="O45" i="6" l="1"/>
  <c r="N45" i="6"/>
  <c r="O20" i="6"/>
  <c r="N20" i="6"/>
  <c r="M45" i="6"/>
  <c r="L45" i="6"/>
  <c r="I45" i="6"/>
  <c r="H45" i="6"/>
  <c r="M20" i="6"/>
  <c r="L20" i="6"/>
  <c r="I20" i="6"/>
  <c r="H2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6" i="5" l="1"/>
  <c r="B8" i="5"/>
  <c r="B10" i="5"/>
  <c r="B12" i="5"/>
  <c r="B14" i="5"/>
  <c r="B16" i="5"/>
  <c r="B18" i="5"/>
  <c r="N20" i="5"/>
  <c r="L20" i="5"/>
  <c r="J20" i="5"/>
  <c r="B4" i="5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N45" i="5"/>
  <c r="G45" i="5"/>
  <c r="L45" i="5"/>
  <c r="E45" i="5"/>
  <c r="G20" i="5"/>
  <c r="E20" i="5"/>
  <c r="J45" i="5"/>
  <c r="C45" i="5"/>
  <c r="C20" i="5"/>
  <c r="O45" i="4"/>
  <c r="N45" i="4"/>
  <c r="O20" i="4"/>
  <c r="N20" i="4"/>
  <c r="M45" i="4"/>
  <c r="L45" i="4"/>
  <c r="M20" i="4"/>
  <c r="L20" i="4"/>
  <c r="H45" i="4"/>
  <c r="I20" i="4"/>
  <c r="H20" i="4"/>
  <c r="I45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3" i="4"/>
  <c r="M45" i="3" l="1"/>
  <c r="L45" i="3"/>
  <c r="M20" i="3"/>
  <c r="L20" i="3"/>
  <c r="H45" i="3"/>
  <c r="I45" i="3"/>
  <c r="I20" i="3"/>
  <c r="H20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I46" i="1" l="1"/>
  <c r="H46" i="1"/>
  <c r="I45" i="1"/>
  <c r="H45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</calcChain>
</file>

<file path=xl/sharedStrings.xml><?xml version="1.0" encoding="utf-8"?>
<sst xmlns="http://schemas.openxmlformats.org/spreadsheetml/2006/main" count="260" uniqueCount="69">
  <si>
    <t>TP_score</t>
  </si>
  <si>
    <t>TN_score</t>
  </si>
  <si>
    <t>FP_score</t>
  </si>
  <si>
    <t>FN_score</t>
  </si>
  <si>
    <t>IOU_score</t>
  </si>
  <si>
    <t>Sen_score</t>
  </si>
  <si>
    <t>F1_score</t>
  </si>
  <si>
    <t>kappa_score</t>
  </si>
  <si>
    <t>0b0aab8e-9608-48a6-bb3f-6906c3330d1e</t>
  </si>
  <si>
    <t>25dc0a98-af67-4ceb-a859-2dace8368d94</t>
  </si>
  <si>
    <t>2ddd06d9-3261-4049-9fdb-ec6df21d8bc4</t>
  </si>
  <si>
    <t>4894dabc-42f6-4d02-b95c-29de3bece22f</t>
  </si>
  <si>
    <t>5691e3cf-e1a0-42d3-ab0a-15e946337581</t>
  </si>
  <si>
    <t>5e7e18e6-4fdc-4ade-842d-3255a86be0fa</t>
  </si>
  <si>
    <t>634d84ab-3d6e-4a8c-9e37-6260ec058ab7</t>
  </si>
  <si>
    <t>6bb5902c-49a2-4f12-87bb-48aedd3fadb4</t>
  </si>
  <si>
    <t>71aadcd1-6e58-4045-adae-001222d8c687</t>
  </si>
  <si>
    <t>7d18669f-9ad9-4d7c-b7e2-8247fefe8f15</t>
  </si>
  <si>
    <t>85d7ace6-0f58-4681-a670-b82610564d6f</t>
  </si>
  <si>
    <t>928ac5a9-4119-41fb-aab8-1319e6034dea</t>
  </si>
  <si>
    <t>b18f5c06-5bff-445d-abdf-18503646a584</t>
  </si>
  <si>
    <t>b31b807a-035c-4e48-8a92-67e50a6169fc</t>
  </si>
  <si>
    <t>c6676b83-e87e-434c-8d66-e54f75d35f9b</t>
  </si>
  <si>
    <t>d8e3d530-fa8e-4530-a1d9-2e94e853b820</t>
  </si>
  <si>
    <t>f924734d-da48-4cd6-ba9f-17379ab208af</t>
  </si>
  <si>
    <t>fddf6a4f-b42c-4d94-81ea-6015161a06eb</t>
  </si>
  <si>
    <t>c15f214b-1fb6-4cea-bea5-0bfb592058a8</t>
  </si>
  <si>
    <t>cb0c3ab2-0056-4d08-b08a-bea2a75d0aad</t>
  </si>
  <si>
    <t>4356e3a3-1004-4880-8bbf-e11b379170dc</t>
  </si>
  <si>
    <t>f3f5bd46-3c2d-4264-a9a8-8bf6c07b706a</t>
  </si>
  <si>
    <t>ed0be67b-68aa-4a51-aecc-c8d8d5b00db1</t>
  </si>
  <si>
    <t>a02a4c30-dcf2-43c3-845a-311ba0f54dbe</t>
  </si>
  <si>
    <t>6f7979c7-3b87-4488-b12f-5073b81fba33</t>
  </si>
  <si>
    <t>6e63f8c7-a96f-40e6-93fa-31be988e247b</t>
  </si>
  <si>
    <t>d4f11246-9c4b-432c-9603-bbbf0cd87b44</t>
  </si>
  <si>
    <t>a4842dcf-b673-48fa-b2c3-8dae364c282c</t>
  </si>
  <si>
    <t>534072ec-bc3e-4499-911d-dece4d937a98</t>
  </si>
  <si>
    <t>7826b6c4-5970-4197-8a64-256fec1072ee</t>
  </si>
  <si>
    <t>095050d7-f3cf-4afc-9e5c-f51487963708</t>
  </si>
  <si>
    <t>e9431599-5436-4780-bf0a-d50b9f29f6e1</t>
  </si>
  <si>
    <t>d1eeb891-b179-4c9c-ad61-ba36c483cd6e</t>
  </si>
  <si>
    <t>1c9eaf2a-79a8-4940-9549-da17e1806bcd</t>
  </si>
  <si>
    <t>3ab5299f-8956-4ed7-b7ed-7ee684112158</t>
  </si>
  <si>
    <t>93cf1249-cda5-4fc4-b451-43604cbebec6</t>
  </si>
  <si>
    <t>c66970be-6bad-4aad-9a73-c8f817336d7c</t>
  </si>
  <si>
    <t>41b3334f-0aaf-4bac-afa4-2fc746a52af7</t>
  </si>
  <si>
    <t>e528f111-0f55-4a03-a7c4-eb5f91f1fd4b</t>
  </si>
  <si>
    <t>1b59e6fc-f2a9-4f1d-bce4-1e1104f892e2</t>
  </si>
  <si>
    <t>8aa12c7a-a947-4fe1-8d1c-a5e82fb5e148</t>
  </si>
  <si>
    <t>Average</t>
    <phoneticPr fontId="1" type="noConversion"/>
  </si>
  <si>
    <t>std</t>
    <phoneticPr fontId="1" type="noConversion"/>
  </si>
  <si>
    <t>NCKU</t>
    <phoneticPr fontId="1" type="noConversion"/>
  </si>
  <si>
    <t>tensorflow</t>
    <phoneticPr fontId="1" type="noConversion"/>
  </si>
  <si>
    <t>NCKU</t>
    <phoneticPr fontId="1" type="noConversion"/>
  </si>
  <si>
    <t>pytorch, train on NCKU</t>
    <phoneticPr fontId="1" type="noConversion"/>
  </si>
  <si>
    <t>KVGH</t>
    <phoneticPr fontId="1" type="noConversion"/>
  </si>
  <si>
    <t>model.ckpt-1545600.pt</t>
  </si>
  <si>
    <t>pytorch, train on KVGH</t>
    <phoneticPr fontId="1" type="noConversion"/>
  </si>
  <si>
    <t>NCKU</t>
  </si>
  <si>
    <t>NCKU</t>
    <phoneticPr fontId="1" type="noConversion"/>
  </si>
  <si>
    <t>MIX</t>
  </si>
  <si>
    <t>MIX</t>
    <phoneticPr fontId="1" type="noConversion"/>
  </si>
  <si>
    <t>KVGH</t>
  </si>
  <si>
    <t>KVGH</t>
    <phoneticPr fontId="1" type="noConversion"/>
  </si>
  <si>
    <t>KVGH</t>
    <phoneticPr fontId="1" type="noConversion"/>
  </si>
  <si>
    <t>Sen_score</t>
    <phoneticPr fontId="1" type="noConversion"/>
  </si>
  <si>
    <t>pytorch, train on KVGH+NCKU</t>
    <phoneticPr fontId="1" type="noConversion"/>
  </si>
  <si>
    <t>IOU</t>
    <phoneticPr fontId="1" type="noConversion"/>
  </si>
  <si>
    <t>SEN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</si>
</sst>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 applyAlignment="1">
      <alignment horizontal="center" vertical="center" textRotation="255"/>
    </xf>
    <xf numFmtId="0" fontId="3" fillId="0" borderId="0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 textRotation="255" wrapText="1"/>
    </xf>
    <xf numFmtId="0" fontId="0" fillId="4" borderId="0" xfId="0" applyFont="1" applyFill="1" applyAlignment="1">
      <alignment horizontal="center" vertical="center" textRotation="255"/>
    </xf>
    <xf numFmtId="0" fontId="2" fillId="4" borderId="0" xfId="0" applyFont="1" applyFill="1" applyAlignment="1">
      <alignment horizontal="center" vertical="center" textRotation="255"/>
    </xf>
    <xf numFmtId="0" fontId="0" fillId="5" borderId="0" xfId="0" applyFill="1" applyAlignment="1">
      <alignment horizontal="center" vertical="center" textRotation="255"/>
    </xf>
    <xf numFmtId="0" fontId="0" fillId="5" borderId="0" xfId="0" applyFill="1" applyAlignment="1">
      <alignment horizontal="center" vertical="center" textRotation="255" wrapText="1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 textRotation="255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 textRotation="255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IOU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工作表2!$S$5:$S$6</c:f>
              <c:strCache>
                <c:ptCount val="2"/>
                <c:pt idx="1">
                  <c:v>KVGH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工作表2!$S$7:$S$8</c:f>
              <c:numCache>
                <c:formatCode>General</c:formatCode>
                <c:ptCount val="2"/>
                <c:pt idx="0">
                  <c:v>0.745</c:v>
                </c:pt>
                <c:pt idx="1">
                  <c:v>0.75700000000000001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B-4444-9814-5D8FBD1228DC}"/>
            </c:ext>
          </c:extLst>
        </c:ser>
        <c:ser>
          <c:idx val="1"/>
          <c:order val="1"/>
          <c:tx>
            <c:strRef>
              <c:f>工作表2!$T$5:$T$6</c:f>
              <c:strCache>
                <c:ptCount val="2"/>
                <c:pt idx="1">
                  <c:v>NCKU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工作表2!$T$7:$T$8</c:f>
              <c:numCache>
                <c:formatCode>General</c:formatCode>
                <c:ptCount val="2"/>
                <c:pt idx="0">
                  <c:v>0.65</c:v>
                </c:pt>
                <c:pt idx="1">
                  <c:v>0.83899999999999997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B-4444-9814-5D8FBD1228DC}"/>
            </c:ext>
          </c:extLst>
        </c:ser>
        <c:ser>
          <c:idx val="2"/>
          <c:order val="2"/>
          <c:tx>
            <c:strRef>
              <c:f>工作表2!$U$5:$U$6</c:f>
              <c:strCache>
                <c:ptCount val="2"/>
                <c:pt idx="1">
                  <c:v>MIX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工作表2!$U$7:$U$8</c:f>
              <c:numCache>
                <c:formatCode>General</c:formatCode>
                <c:ptCount val="2"/>
                <c:pt idx="0">
                  <c:v>0.73599999999999999</c:v>
                </c:pt>
                <c:pt idx="1">
                  <c:v>0.85699999999999998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B-4444-9814-5D8FBD1228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9301199"/>
        <c:axId val="2139289551"/>
      </c:barChart>
      <c:catAx>
        <c:axId val="213930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TEST DATA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39289551"/>
        <c:crosses val="autoZero"/>
        <c:auto val="1"/>
        <c:lblAlgn val="ctr"/>
        <c:lblOffset val="100"/>
        <c:noMultiLvlLbl val="0"/>
      </c:catAx>
      <c:valAx>
        <c:axId val="21392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3930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Sensitivity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工作表2!$Z$5:$Z$6</c:f>
              <c:strCache>
                <c:ptCount val="2"/>
                <c:pt idx="1">
                  <c:v>KVGH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工作表2!$Z$7:$Z$8</c:f>
              <c:numCache>
                <c:formatCode>General</c:formatCode>
                <c:ptCount val="2"/>
                <c:pt idx="0">
                  <c:v>0.91</c:v>
                </c:pt>
                <c:pt idx="1">
                  <c:v>0.83599999999999997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8-461E-B8D2-A1ECCBDC09F3}"/>
            </c:ext>
          </c:extLst>
        </c:ser>
        <c:ser>
          <c:idx val="1"/>
          <c:order val="1"/>
          <c:tx>
            <c:strRef>
              <c:f>工作表2!$AA$6</c:f>
              <c:strCache>
                <c:ptCount val="1"/>
                <c:pt idx="0">
                  <c:v>NCKU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工作表2!$AA$7:$AA$8</c:f>
              <c:numCache>
                <c:formatCode>General</c:formatCode>
                <c:ptCount val="2"/>
                <c:pt idx="0">
                  <c:v>0.81899999999999995</c:v>
                </c:pt>
                <c:pt idx="1">
                  <c:v>0.92900000000000005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8-461E-B8D2-A1ECCBDC09F3}"/>
            </c:ext>
          </c:extLst>
        </c:ser>
        <c:ser>
          <c:idx val="2"/>
          <c:order val="2"/>
          <c:tx>
            <c:strRef>
              <c:f>工作表2!$AB$6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工作表2!$R$7:$R$8</c:f>
              <c:strCache>
                <c:ptCount val="2"/>
                <c:pt idx="0">
                  <c:v>KVGH</c:v>
                </c:pt>
                <c:pt idx="1">
                  <c:v>NCKU</c:v>
                </c:pt>
              </c:strCache>
            </c:strRef>
          </c:cat>
          <c:val>
            <c:numRef>
              <c:f>工作表2!$AB$7:$AB$8</c:f>
              <c:numCache>
                <c:formatCode>General</c:formatCode>
                <c:ptCount val="2"/>
                <c:pt idx="0">
                  <c:v>0.89300000000000002</c:v>
                </c:pt>
                <c:pt idx="1">
                  <c:v>0.94699999999999995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8-461E-B8D2-A1ECCBDC0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9301199"/>
        <c:axId val="2139289551"/>
      </c:barChart>
      <c:catAx>
        <c:axId val="213930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TEST DATA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39289551"/>
        <c:crosses val="autoZero"/>
        <c:auto val="1"/>
        <c:lblAlgn val="ctr"/>
        <c:lblOffset val="100"/>
        <c:noMultiLvlLbl val="0"/>
      </c:catAx>
      <c:valAx>
        <c:axId val="21392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3930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518160</xdr:colOff>
      <xdr:row>10</xdr:row>
      <xdr:rowOff>19050</xdr:rowOff>
    </xdr:from>
    <xdr:to>
      <xdr:col>24</xdr:col>
      <xdr:colOff>152400</xdr:colOff>
      <xdr:row>24</xdr:row>
      <xdr:rowOff>95250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537883</xdr:colOff>
      <xdr:row>25</xdr:row>
      <xdr:rowOff>8964</xdr:rowOff>
    </xdr:from>
    <xdr:to>
      <xdr:col>24</xdr:col>
      <xdr:colOff>176261</xdr:colOff>
      <xdr:row>39</xdr:row>
      <xdr:rowOff>85165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zoomScale="115" zoomScaleNormal="115" workbookViewId="0">
      <pane ySplit="1" topLeftCell="A2" activePane="bottomLeft" state="frozen"/>
      <selection pane="bottomLeft" activeCell="C41" sqref="C41:K41"/>
    </sheetView>
  </sheetViews>
  <sheetFormatPr defaultRowHeight="15" x14ac:dyDescent="0.3"/>
  <cols>
    <col min="1" max="1" width="7.25" style="2" customWidth="1"/>
    <col min="2" max="2" width="4" customWidth="1"/>
    <col min="3" max="3" width="46.5" customWidth="1"/>
    <col min="4" max="6" width="9" style="2"/>
    <col min="7" max="7" width="9" style="2" customWidth="1"/>
    <col min="8" max="8" width="9" style="2"/>
    <col min="9" max="9" width="11.625" style="2" customWidth="1"/>
    <col min="10" max="10" width="9" style="2"/>
    <col min="11" max="11" width="15.75" style="2" customWidth="1"/>
  </cols>
  <sheetData>
    <row r="1" spans="1:11" x14ac:dyDescent="0.3">
      <c r="B1" s="2"/>
      <c r="C1" s="2" t="s">
        <v>52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ht="15" customHeight="1" x14ac:dyDescent="0.3">
      <c r="A2" s="19" t="s">
        <v>55</v>
      </c>
      <c r="B2" s="4">
        <v>1</v>
      </c>
      <c r="C2" s="5" t="s">
        <v>8</v>
      </c>
      <c r="D2" s="1">
        <v>67865</v>
      </c>
      <c r="E2" s="1">
        <v>539794</v>
      </c>
      <c r="F2" s="1">
        <v>42826</v>
      </c>
      <c r="G2" s="1">
        <v>21380</v>
      </c>
      <c r="H2" s="1">
        <v>0.513852397574032</v>
      </c>
      <c r="I2" s="1">
        <v>0.76043475824976103</v>
      </c>
      <c r="J2" s="1">
        <v>0.67886723751600497</v>
      </c>
      <c r="K2" s="1">
        <v>0.62349023742523502</v>
      </c>
    </row>
    <row r="3" spans="1:11" x14ac:dyDescent="0.3">
      <c r="A3" s="20"/>
      <c r="B3" s="4">
        <f>1+B2</f>
        <v>2</v>
      </c>
      <c r="C3" s="5" t="s">
        <v>9</v>
      </c>
      <c r="D3" s="1">
        <v>240559</v>
      </c>
      <c r="E3" s="1">
        <v>455755</v>
      </c>
      <c r="F3" s="1">
        <v>20962</v>
      </c>
      <c r="G3" s="1">
        <v>1545</v>
      </c>
      <c r="H3" s="1">
        <v>0.91444352367846804</v>
      </c>
      <c r="I3" s="1">
        <v>0.99361844496579899</v>
      </c>
      <c r="J3" s="1">
        <v>0.95531000248200504</v>
      </c>
      <c r="K3" s="1">
        <v>0.931268099121626</v>
      </c>
    </row>
    <row r="4" spans="1:11" x14ac:dyDescent="0.3">
      <c r="A4" s="20"/>
      <c r="B4" s="4">
        <f t="shared" ref="B4:B42" si="0">1+B3</f>
        <v>3</v>
      </c>
      <c r="C4" s="5" t="s">
        <v>10</v>
      </c>
      <c r="D4" s="1">
        <v>27969</v>
      </c>
      <c r="E4" s="1">
        <v>371896</v>
      </c>
      <c r="F4" s="1">
        <v>2640</v>
      </c>
      <c r="G4" s="1">
        <v>766</v>
      </c>
      <c r="H4" s="1">
        <v>0.89144223107569698</v>
      </c>
      <c r="I4" s="1">
        <v>0.97334261353749696</v>
      </c>
      <c r="J4" s="1">
        <v>0.94260582367214796</v>
      </c>
      <c r="K4" s="1">
        <v>0.93805236656246005</v>
      </c>
    </row>
    <row r="5" spans="1:11" x14ac:dyDescent="0.3">
      <c r="A5" s="20"/>
      <c r="B5" s="4">
        <f t="shared" si="0"/>
        <v>4</v>
      </c>
      <c r="C5" s="5" t="s">
        <v>11</v>
      </c>
      <c r="D5" s="1">
        <v>21215</v>
      </c>
      <c r="E5" s="1">
        <v>368345</v>
      </c>
      <c r="F5" s="1">
        <v>36445</v>
      </c>
      <c r="G5" s="1">
        <v>250</v>
      </c>
      <c r="H5" s="1">
        <v>0.366344327404593</v>
      </c>
      <c r="I5" s="1">
        <v>0.98835313300722105</v>
      </c>
      <c r="J5" s="1">
        <v>0.536240126382306</v>
      </c>
      <c r="K5" s="1">
        <v>0.499507690816542</v>
      </c>
    </row>
    <row r="6" spans="1:11" x14ac:dyDescent="0.3">
      <c r="A6" s="20"/>
      <c r="B6" s="4">
        <f t="shared" si="0"/>
        <v>5</v>
      </c>
      <c r="C6" s="5" t="s">
        <v>12</v>
      </c>
      <c r="D6" s="1">
        <v>114409</v>
      </c>
      <c r="E6" s="1">
        <v>365346</v>
      </c>
      <c r="F6" s="1">
        <v>15897</v>
      </c>
      <c r="G6" s="1">
        <v>11820</v>
      </c>
      <c r="H6" s="1">
        <v>0.80498290249496895</v>
      </c>
      <c r="I6" s="1">
        <v>0.90636066197149601</v>
      </c>
      <c r="J6" s="1">
        <v>0.891956263277915</v>
      </c>
      <c r="K6" s="1">
        <v>0.85542237162179202</v>
      </c>
    </row>
    <row r="7" spans="1:11" x14ac:dyDescent="0.3">
      <c r="A7" s="20"/>
      <c r="B7" s="4">
        <f t="shared" si="0"/>
        <v>6</v>
      </c>
      <c r="C7" s="5" t="s">
        <v>13</v>
      </c>
      <c r="D7" s="1">
        <v>123394</v>
      </c>
      <c r="E7" s="1">
        <v>438733</v>
      </c>
      <c r="F7" s="1">
        <v>47612</v>
      </c>
      <c r="G7" s="1">
        <v>21589</v>
      </c>
      <c r="H7" s="1">
        <v>0.64069160673953096</v>
      </c>
      <c r="I7" s="1">
        <v>0.85109288675223904</v>
      </c>
      <c r="J7" s="1">
        <v>0.78100187031826995</v>
      </c>
      <c r="K7" s="1">
        <v>0.70856201681727204</v>
      </c>
    </row>
    <row r="8" spans="1:11" x14ac:dyDescent="0.3">
      <c r="A8" s="20"/>
      <c r="B8" s="4">
        <f t="shared" si="0"/>
        <v>7</v>
      </c>
      <c r="C8" s="5" t="s">
        <v>14</v>
      </c>
      <c r="D8" s="1">
        <v>157392</v>
      </c>
      <c r="E8" s="1">
        <v>531931</v>
      </c>
      <c r="F8" s="1">
        <v>5522</v>
      </c>
      <c r="G8" s="1">
        <v>3036</v>
      </c>
      <c r="H8" s="1">
        <v>0.948430250075323</v>
      </c>
      <c r="I8" s="1">
        <v>0.98107562270925197</v>
      </c>
      <c r="J8" s="1">
        <v>0.97353266819652196</v>
      </c>
      <c r="K8" s="1">
        <v>0.96555319970356002</v>
      </c>
    </row>
    <row r="9" spans="1:11" x14ac:dyDescent="0.3">
      <c r="A9" s="20"/>
      <c r="B9" s="4">
        <f t="shared" si="0"/>
        <v>8</v>
      </c>
      <c r="C9" s="5" t="s">
        <v>15</v>
      </c>
      <c r="D9" s="1">
        <v>206702</v>
      </c>
      <c r="E9" s="1">
        <v>489330</v>
      </c>
      <c r="F9" s="1">
        <v>10550</v>
      </c>
      <c r="G9" s="1">
        <v>10178</v>
      </c>
      <c r="H9" s="1">
        <v>0.90885986897067195</v>
      </c>
      <c r="I9" s="1">
        <v>0.953070822574695</v>
      </c>
      <c r="J9" s="1">
        <v>0.95225415311471995</v>
      </c>
      <c r="K9" s="1">
        <v>0.93151348165456305</v>
      </c>
    </row>
    <row r="10" spans="1:11" x14ac:dyDescent="0.3">
      <c r="A10" s="20"/>
      <c r="B10" s="4">
        <f t="shared" si="0"/>
        <v>9</v>
      </c>
      <c r="C10" s="5" t="s">
        <v>16</v>
      </c>
      <c r="D10" s="1">
        <v>147349</v>
      </c>
      <c r="E10" s="1">
        <v>253635</v>
      </c>
      <c r="F10" s="1">
        <v>5559</v>
      </c>
      <c r="G10" s="1">
        <v>150783</v>
      </c>
      <c r="H10" s="1">
        <v>0.48519383188833298</v>
      </c>
      <c r="I10" s="1">
        <v>0.49424080608589399</v>
      </c>
      <c r="J10" s="1">
        <v>0.65337442355445197</v>
      </c>
      <c r="K10" s="1">
        <v>0.45610519566565499</v>
      </c>
    </row>
    <row r="11" spans="1:11" x14ac:dyDescent="0.3">
      <c r="A11" s="20"/>
      <c r="B11" s="4">
        <f t="shared" si="0"/>
        <v>10</v>
      </c>
      <c r="C11" s="5" t="s">
        <v>17</v>
      </c>
      <c r="D11" s="1">
        <v>75074</v>
      </c>
      <c r="E11" s="1">
        <v>583832</v>
      </c>
      <c r="F11" s="1">
        <v>33645</v>
      </c>
      <c r="G11" s="1">
        <v>5624</v>
      </c>
      <c r="H11" s="1">
        <v>0.65656839509195997</v>
      </c>
      <c r="I11" s="1">
        <v>0.93030806215767403</v>
      </c>
      <c r="J11" s="1">
        <v>0.79268492268381396</v>
      </c>
      <c r="K11" s="1">
        <v>0.76096968652893704</v>
      </c>
    </row>
    <row r="12" spans="1:11" x14ac:dyDescent="0.3">
      <c r="A12" s="20"/>
      <c r="B12" s="4">
        <f t="shared" si="0"/>
        <v>11</v>
      </c>
      <c r="C12" s="5" t="s">
        <v>18</v>
      </c>
      <c r="D12" s="1">
        <v>21097</v>
      </c>
      <c r="E12" s="1">
        <v>340300</v>
      </c>
      <c r="F12" s="1">
        <v>27236</v>
      </c>
      <c r="G12" s="1">
        <v>692</v>
      </c>
      <c r="H12" s="1">
        <v>0.43033146353900997</v>
      </c>
      <c r="I12" s="1">
        <v>0.96824085547753402</v>
      </c>
      <c r="J12" s="1">
        <v>0.60172271184506998</v>
      </c>
      <c r="K12" s="1">
        <v>0.56842613413376497</v>
      </c>
    </row>
    <row r="13" spans="1:11" x14ac:dyDescent="0.3">
      <c r="A13" s="20"/>
      <c r="B13" s="4">
        <f t="shared" si="0"/>
        <v>12</v>
      </c>
      <c r="C13" s="5" t="s">
        <v>19</v>
      </c>
      <c r="D13" s="1">
        <v>99722</v>
      </c>
      <c r="E13" s="1">
        <v>444262</v>
      </c>
      <c r="F13" s="1">
        <v>11175</v>
      </c>
      <c r="G13" s="1">
        <v>4866</v>
      </c>
      <c r="H13" s="1">
        <v>0.86143240931903897</v>
      </c>
      <c r="I13" s="1">
        <v>0.95347458599456902</v>
      </c>
      <c r="J13" s="1">
        <v>0.925558623570086</v>
      </c>
      <c r="K13" s="1">
        <v>0.907844056521252</v>
      </c>
    </row>
    <row r="14" spans="1:11" x14ac:dyDescent="0.3">
      <c r="A14" s="20"/>
      <c r="B14" s="4">
        <f t="shared" si="0"/>
        <v>13</v>
      </c>
      <c r="C14" s="5" t="s">
        <v>20</v>
      </c>
      <c r="D14" s="1">
        <v>190561</v>
      </c>
      <c r="E14" s="1">
        <v>473745</v>
      </c>
      <c r="F14" s="1">
        <v>6275</v>
      </c>
      <c r="G14" s="1">
        <v>11679</v>
      </c>
      <c r="H14" s="1">
        <v>0.91389588279020695</v>
      </c>
      <c r="I14" s="1">
        <v>0.94225178006329102</v>
      </c>
      <c r="J14" s="1">
        <v>0.95501107558459997</v>
      </c>
      <c r="K14" s="1">
        <v>0.93641926979588597</v>
      </c>
    </row>
    <row r="15" spans="1:11" x14ac:dyDescent="0.3">
      <c r="A15" s="20"/>
      <c r="B15" s="4">
        <f t="shared" si="0"/>
        <v>14</v>
      </c>
      <c r="C15" s="5" t="s">
        <v>21</v>
      </c>
      <c r="D15" s="1">
        <v>319081</v>
      </c>
      <c r="E15" s="1">
        <v>329838</v>
      </c>
      <c r="F15" s="1">
        <v>6845</v>
      </c>
      <c r="G15" s="1">
        <v>31312</v>
      </c>
      <c r="H15" s="1">
        <v>0.89318885448916396</v>
      </c>
      <c r="I15" s="1">
        <v>0.91063748419631596</v>
      </c>
      <c r="J15" s="1">
        <v>0.94358135731807002</v>
      </c>
      <c r="K15" s="1">
        <v>0.88904282468438101</v>
      </c>
    </row>
    <row r="16" spans="1:11" x14ac:dyDescent="0.3">
      <c r="A16" s="20"/>
      <c r="B16" s="4">
        <f t="shared" si="0"/>
        <v>15</v>
      </c>
      <c r="C16" s="5" t="s">
        <v>22</v>
      </c>
      <c r="D16" s="1">
        <v>126415</v>
      </c>
      <c r="E16" s="1">
        <v>539186</v>
      </c>
      <c r="F16" s="1">
        <v>17878</v>
      </c>
      <c r="G16" s="1">
        <v>3597</v>
      </c>
      <c r="H16" s="1">
        <v>0.85479072283453905</v>
      </c>
      <c r="I16" s="1">
        <v>0.97233332307786902</v>
      </c>
      <c r="J16" s="1">
        <v>0.92171123384553599</v>
      </c>
      <c r="K16" s="1">
        <v>0.90225186918896105</v>
      </c>
    </row>
    <row r="17" spans="1:11" x14ac:dyDescent="0.3">
      <c r="A17" s="20"/>
      <c r="B17" s="4">
        <f t="shared" si="0"/>
        <v>16</v>
      </c>
      <c r="C17" s="5" t="s">
        <v>23</v>
      </c>
      <c r="D17" s="1">
        <v>135413</v>
      </c>
      <c r="E17" s="1">
        <v>468625</v>
      </c>
      <c r="F17" s="1">
        <v>23785</v>
      </c>
      <c r="G17" s="1">
        <v>1635</v>
      </c>
      <c r="H17" s="1">
        <v>0.84194785895929303</v>
      </c>
      <c r="I17" s="1">
        <v>0.98806987332905205</v>
      </c>
      <c r="J17" s="1">
        <v>0.91419293425058901</v>
      </c>
      <c r="K17" s="1">
        <v>0.887979922566693</v>
      </c>
    </row>
    <row r="18" spans="1:11" x14ac:dyDescent="0.3">
      <c r="A18" s="20"/>
      <c r="B18" s="4">
        <f t="shared" si="0"/>
        <v>17</v>
      </c>
      <c r="C18" s="5" t="s">
        <v>24</v>
      </c>
      <c r="D18" s="1">
        <v>143048</v>
      </c>
      <c r="E18" s="1">
        <v>373159</v>
      </c>
      <c r="F18" s="1">
        <v>5362</v>
      </c>
      <c r="G18" s="1">
        <v>24615</v>
      </c>
      <c r="H18" s="1">
        <v>0.82674757982950398</v>
      </c>
      <c r="I18" s="1">
        <v>0.85318764426259797</v>
      </c>
      <c r="J18" s="1">
        <v>0.90515798565521199</v>
      </c>
      <c r="K18" s="1">
        <v>0.86674382301634101</v>
      </c>
    </row>
    <row r="19" spans="1:11" x14ac:dyDescent="0.3">
      <c r="A19" s="20"/>
      <c r="B19" s="4">
        <f t="shared" si="0"/>
        <v>18</v>
      </c>
      <c r="C19" s="5" t="s">
        <v>25</v>
      </c>
      <c r="D19" s="1">
        <v>66496</v>
      </c>
      <c r="E19" s="1">
        <v>520982</v>
      </c>
      <c r="F19" s="1">
        <v>20283</v>
      </c>
      <c r="G19" s="1">
        <v>4210</v>
      </c>
      <c r="H19" s="1">
        <v>0.73081361483256202</v>
      </c>
      <c r="I19" s="1">
        <v>0.94045766978757095</v>
      </c>
      <c r="J19" s="1">
        <v>0.84447407689621201</v>
      </c>
      <c r="K19" s="1">
        <v>0.82178150976297404</v>
      </c>
    </row>
    <row r="20" spans="1:11" x14ac:dyDescent="0.3">
      <c r="A20" s="21" t="s">
        <v>51</v>
      </c>
      <c r="B20" s="2">
        <f t="shared" si="0"/>
        <v>19</v>
      </c>
      <c r="C20" s="1" t="s">
        <v>26</v>
      </c>
      <c r="D20" s="1">
        <v>77709</v>
      </c>
      <c r="E20" s="1">
        <v>335590</v>
      </c>
      <c r="F20" s="1">
        <v>4472</v>
      </c>
      <c r="G20" s="1">
        <v>549</v>
      </c>
      <c r="H20" s="1">
        <v>0.93930859422216795</v>
      </c>
      <c r="I20" s="1">
        <v>0.99298474277390103</v>
      </c>
      <c r="J20" s="1">
        <v>0.96870461670790697</v>
      </c>
      <c r="K20" s="1">
        <v>0.96128480175858799</v>
      </c>
    </row>
    <row r="21" spans="1:11" x14ac:dyDescent="0.3">
      <c r="A21" s="21"/>
      <c r="B21" s="2">
        <f t="shared" si="0"/>
        <v>20</v>
      </c>
      <c r="C21" s="1" t="s">
        <v>27</v>
      </c>
      <c r="D21" s="1">
        <v>164050</v>
      </c>
      <c r="E21" s="1">
        <v>440742</v>
      </c>
      <c r="F21" s="1">
        <v>18118</v>
      </c>
      <c r="G21" s="1">
        <v>333</v>
      </c>
      <c r="H21" s="1">
        <v>0.898899184114059</v>
      </c>
      <c r="I21" s="1">
        <v>0.997974243078663</v>
      </c>
      <c r="J21" s="1">
        <v>0.94675819720618304</v>
      </c>
      <c r="K21" s="1">
        <v>0.92633032214327005</v>
      </c>
    </row>
    <row r="22" spans="1:11" x14ac:dyDescent="0.3">
      <c r="A22" s="21"/>
      <c r="B22" s="2">
        <f t="shared" si="0"/>
        <v>21</v>
      </c>
      <c r="C22" s="1" t="s">
        <v>28</v>
      </c>
      <c r="D22" s="1">
        <v>154093</v>
      </c>
      <c r="E22" s="1">
        <v>364158</v>
      </c>
      <c r="F22" s="1">
        <v>4926</v>
      </c>
      <c r="G22" s="1">
        <v>23</v>
      </c>
      <c r="H22" s="1">
        <v>0.96888243357100601</v>
      </c>
      <c r="I22" s="1">
        <v>0.999850761763866</v>
      </c>
      <c r="J22" s="1">
        <v>0.98419531511967595</v>
      </c>
      <c r="K22" s="1">
        <v>0.97744841091453705</v>
      </c>
    </row>
    <row r="23" spans="1:11" x14ac:dyDescent="0.3">
      <c r="A23" s="21"/>
      <c r="B23" s="2">
        <f t="shared" si="0"/>
        <v>22</v>
      </c>
      <c r="C23" s="1" t="s">
        <v>29</v>
      </c>
      <c r="D23" s="1">
        <v>190252</v>
      </c>
      <c r="E23" s="1">
        <v>604207</v>
      </c>
      <c r="F23" s="1">
        <v>20210</v>
      </c>
      <c r="G23" s="1">
        <v>842</v>
      </c>
      <c r="H23" s="1">
        <v>0.90037102941733205</v>
      </c>
      <c r="I23" s="1">
        <v>0.995593791537149</v>
      </c>
      <c r="J23" s="1">
        <v>0.94757393738357698</v>
      </c>
      <c r="K23" s="1">
        <v>0.93050386048637401</v>
      </c>
    </row>
    <row r="24" spans="1:11" x14ac:dyDescent="0.3">
      <c r="A24" s="21"/>
      <c r="B24" s="2">
        <f t="shared" si="0"/>
        <v>23</v>
      </c>
      <c r="C24" s="1" t="s">
        <v>30</v>
      </c>
      <c r="D24" s="1">
        <v>215509</v>
      </c>
      <c r="E24" s="1">
        <v>414016</v>
      </c>
      <c r="F24" s="1">
        <v>12538</v>
      </c>
      <c r="G24" s="1">
        <v>4469</v>
      </c>
      <c r="H24" s="1">
        <v>0.92685664642433196</v>
      </c>
      <c r="I24" s="1">
        <v>0.97968433206956995</v>
      </c>
      <c r="J24" s="1">
        <v>0.96204006472852999</v>
      </c>
      <c r="K24" s="1">
        <v>0.94192435383480699</v>
      </c>
    </row>
    <row r="25" spans="1:11" x14ac:dyDescent="0.3">
      <c r="A25" s="21"/>
      <c r="B25" s="2">
        <f t="shared" si="0"/>
        <v>24</v>
      </c>
      <c r="C25" s="1" t="s">
        <v>31</v>
      </c>
      <c r="D25" s="1">
        <v>191306</v>
      </c>
      <c r="E25" s="1">
        <v>207228</v>
      </c>
      <c r="F25" s="1">
        <v>84868</v>
      </c>
      <c r="G25" s="1">
        <v>1362</v>
      </c>
      <c r="H25" s="1">
        <v>0.68930156808486098</v>
      </c>
      <c r="I25" s="1">
        <v>0.99293084476923998</v>
      </c>
      <c r="J25" s="1">
        <v>0.81607876427453097</v>
      </c>
      <c r="K25" s="1">
        <v>0.65412946698624996</v>
      </c>
    </row>
    <row r="26" spans="1:11" x14ac:dyDescent="0.3">
      <c r="A26" s="21"/>
      <c r="B26" s="2">
        <f t="shared" si="0"/>
        <v>25</v>
      </c>
      <c r="C26" s="1" t="s">
        <v>32</v>
      </c>
      <c r="D26" s="1">
        <v>227140</v>
      </c>
      <c r="E26" s="1">
        <v>358068</v>
      </c>
      <c r="F26" s="1">
        <v>22871</v>
      </c>
      <c r="G26" s="1">
        <v>15841</v>
      </c>
      <c r="H26" s="1">
        <v>0.85438514662293297</v>
      </c>
      <c r="I26" s="1">
        <v>0.93480560208411301</v>
      </c>
      <c r="J26" s="1">
        <v>0.92147539919511801</v>
      </c>
      <c r="K26" s="1">
        <v>0.87020813906660299</v>
      </c>
    </row>
    <row r="27" spans="1:11" x14ac:dyDescent="0.3">
      <c r="A27" s="21"/>
      <c r="B27" s="4">
        <f t="shared" si="0"/>
        <v>26</v>
      </c>
      <c r="C27" s="5" t="s">
        <v>33</v>
      </c>
      <c r="D27" s="1">
        <v>133706</v>
      </c>
      <c r="E27" s="1">
        <v>354735</v>
      </c>
      <c r="F27" s="1">
        <v>16109</v>
      </c>
      <c r="G27" s="1">
        <v>12902</v>
      </c>
      <c r="H27" s="1">
        <v>0.82170885648088399</v>
      </c>
      <c r="I27" s="1">
        <v>0.91199661682854904</v>
      </c>
      <c r="J27" s="1">
        <v>0.902129726775587</v>
      </c>
      <c r="K27" s="1">
        <v>0.86285147666166095</v>
      </c>
    </row>
    <row r="28" spans="1:11" x14ac:dyDescent="0.3">
      <c r="A28" s="21"/>
      <c r="B28" s="4">
        <f t="shared" si="0"/>
        <v>27</v>
      </c>
      <c r="C28" s="5" t="s">
        <v>34</v>
      </c>
      <c r="D28" s="1">
        <v>100099</v>
      </c>
      <c r="E28" s="1">
        <v>458455</v>
      </c>
      <c r="F28" s="1">
        <v>77554</v>
      </c>
      <c r="G28" s="1">
        <v>74</v>
      </c>
      <c r="H28" s="1">
        <v>0.56321774406814895</v>
      </c>
      <c r="I28" s="1">
        <v>0.99926127798907805</v>
      </c>
      <c r="J28" s="1">
        <v>0.72058770597424204</v>
      </c>
      <c r="K28" s="1">
        <v>0.65013463872925104</v>
      </c>
    </row>
    <row r="29" spans="1:11" x14ac:dyDescent="0.3">
      <c r="A29" s="21"/>
      <c r="B29" s="4">
        <f t="shared" si="0"/>
        <v>28</v>
      </c>
      <c r="C29" s="5" t="s">
        <v>35</v>
      </c>
      <c r="D29" s="1">
        <v>203366</v>
      </c>
      <c r="E29" s="1">
        <v>229979</v>
      </c>
      <c r="F29" s="1">
        <v>3841</v>
      </c>
      <c r="G29" s="1">
        <v>1214</v>
      </c>
      <c r="H29" s="1">
        <v>0.97574620599651596</v>
      </c>
      <c r="I29" s="1">
        <v>0.99406589109394805</v>
      </c>
      <c r="J29" s="1">
        <v>0.98772423607350401</v>
      </c>
      <c r="K29" s="1">
        <v>0.97685440640525401</v>
      </c>
    </row>
    <row r="30" spans="1:11" x14ac:dyDescent="0.3">
      <c r="A30" s="21"/>
      <c r="B30" s="4">
        <f t="shared" si="0"/>
        <v>29</v>
      </c>
      <c r="C30" s="5" t="s">
        <v>36</v>
      </c>
      <c r="D30" s="1">
        <v>30125</v>
      </c>
      <c r="E30" s="1">
        <v>559144</v>
      </c>
      <c r="F30" s="1">
        <v>931</v>
      </c>
      <c r="G30" s="1">
        <v>1118</v>
      </c>
      <c r="H30" s="1">
        <v>0.93631503698638596</v>
      </c>
      <c r="I30" s="1">
        <v>0.96421598438050105</v>
      </c>
      <c r="J30" s="1">
        <v>0.96711022648838596</v>
      </c>
      <c r="K30" s="1">
        <v>0.96528132990450799</v>
      </c>
    </row>
    <row r="31" spans="1:11" x14ac:dyDescent="0.3">
      <c r="A31" s="21"/>
      <c r="B31" s="4">
        <f t="shared" si="0"/>
        <v>30</v>
      </c>
      <c r="C31" s="5" t="s">
        <v>37</v>
      </c>
      <c r="D31" s="1">
        <v>194590</v>
      </c>
      <c r="E31" s="1">
        <v>265037</v>
      </c>
      <c r="F31" s="1">
        <v>18331</v>
      </c>
      <c r="G31" s="1">
        <v>948</v>
      </c>
      <c r="H31" s="1">
        <v>0.90985603336621901</v>
      </c>
      <c r="I31" s="1">
        <v>0.99515183749450198</v>
      </c>
      <c r="J31" s="1">
        <v>0.95280064829028099</v>
      </c>
      <c r="K31" s="1">
        <v>0.91781730768557401</v>
      </c>
    </row>
    <row r="32" spans="1:11" x14ac:dyDescent="0.3">
      <c r="A32" s="21"/>
      <c r="B32" s="4">
        <f t="shared" si="0"/>
        <v>31</v>
      </c>
      <c r="C32" s="5" t="s">
        <v>38</v>
      </c>
      <c r="D32" s="1">
        <v>30776</v>
      </c>
      <c r="E32" s="1">
        <v>233310</v>
      </c>
      <c r="F32" s="1">
        <v>10541</v>
      </c>
      <c r="G32" s="1">
        <v>473</v>
      </c>
      <c r="H32" s="1">
        <v>0.73644412538884896</v>
      </c>
      <c r="I32" s="1">
        <v>0.98486351563249996</v>
      </c>
      <c r="J32" s="1">
        <v>0.84822092991207998</v>
      </c>
      <c r="K32" s="1">
        <v>0.82567126433731797</v>
      </c>
    </row>
    <row r="33" spans="1:11" x14ac:dyDescent="0.3">
      <c r="A33" s="21"/>
      <c r="B33" s="4">
        <f t="shared" si="0"/>
        <v>32</v>
      </c>
      <c r="C33" s="5" t="s">
        <v>39</v>
      </c>
      <c r="D33" s="1">
        <v>114568</v>
      </c>
      <c r="E33" s="1">
        <v>614182</v>
      </c>
      <c r="F33" s="1">
        <v>35584</v>
      </c>
      <c r="G33" s="1">
        <v>210</v>
      </c>
      <c r="H33" s="1">
        <v>0.76194783256407805</v>
      </c>
      <c r="I33" s="1">
        <v>0.99817038108348199</v>
      </c>
      <c r="J33" s="1">
        <v>0.86489261314309396</v>
      </c>
      <c r="K33" s="1">
        <v>0.83718642657967501</v>
      </c>
    </row>
    <row r="34" spans="1:11" x14ac:dyDescent="0.3">
      <c r="A34" s="21"/>
      <c r="B34" s="4">
        <f t="shared" si="0"/>
        <v>33</v>
      </c>
      <c r="C34" s="5" t="s">
        <v>40</v>
      </c>
      <c r="D34" s="1">
        <v>106131</v>
      </c>
      <c r="E34" s="1">
        <v>319428</v>
      </c>
      <c r="F34" s="1">
        <v>6059</v>
      </c>
      <c r="G34" s="1">
        <v>121</v>
      </c>
      <c r="H34" s="1">
        <v>0.94497422336191395</v>
      </c>
      <c r="I34" s="1">
        <v>0.99886119790686201</v>
      </c>
      <c r="J34" s="1">
        <v>0.97170873733073304</v>
      </c>
      <c r="K34" s="1">
        <v>0.96213735155435898</v>
      </c>
    </row>
    <row r="35" spans="1:11" x14ac:dyDescent="0.3">
      <c r="A35" s="21"/>
      <c r="B35" s="4">
        <f t="shared" si="0"/>
        <v>34</v>
      </c>
      <c r="C35" s="5" t="s">
        <v>41</v>
      </c>
      <c r="D35" s="1">
        <v>105686</v>
      </c>
      <c r="E35" s="1">
        <v>227753</v>
      </c>
      <c r="F35" s="1">
        <v>5563</v>
      </c>
      <c r="G35" s="1">
        <v>523</v>
      </c>
      <c r="H35" s="1">
        <v>0.94554986937694596</v>
      </c>
      <c r="I35" s="1">
        <v>0.99507574687644096</v>
      </c>
      <c r="J35" s="1">
        <v>0.97201298641576706</v>
      </c>
      <c r="K35" s="1">
        <v>0.95883859891753798</v>
      </c>
    </row>
    <row r="36" spans="1:11" x14ac:dyDescent="0.3">
      <c r="A36" s="21"/>
      <c r="B36" s="4">
        <f t="shared" si="0"/>
        <v>35</v>
      </c>
      <c r="C36" s="5" t="s">
        <v>42</v>
      </c>
      <c r="D36" s="1">
        <v>196403</v>
      </c>
      <c r="E36" s="1">
        <v>359471</v>
      </c>
      <c r="F36" s="1">
        <v>7802</v>
      </c>
      <c r="G36" s="1">
        <v>1099</v>
      </c>
      <c r="H36" s="1">
        <v>0.95664478042317702</v>
      </c>
      <c r="I36" s="1">
        <v>0.99443549938734799</v>
      </c>
      <c r="J36" s="1">
        <v>0.97784205901316101</v>
      </c>
      <c r="K36" s="1">
        <v>0.96561805680226098</v>
      </c>
    </row>
    <row r="37" spans="1:11" x14ac:dyDescent="0.3">
      <c r="A37" s="21"/>
      <c r="B37" s="4">
        <f t="shared" si="0"/>
        <v>36</v>
      </c>
      <c r="C37" s="5" t="s">
        <v>43</v>
      </c>
      <c r="D37" s="1">
        <v>28251</v>
      </c>
      <c r="E37" s="1">
        <v>577903</v>
      </c>
      <c r="F37" s="1">
        <v>6409</v>
      </c>
      <c r="G37" s="1">
        <v>2182</v>
      </c>
      <c r="H37" s="1">
        <v>0.76681504804299405</v>
      </c>
      <c r="I37" s="1">
        <v>0.92830151480300904</v>
      </c>
      <c r="J37" s="1">
        <v>0.86801960272225898</v>
      </c>
      <c r="K37" s="1">
        <v>0.86067437924071699</v>
      </c>
    </row>
    <row r="38" spans="1:11" x14ac:dyDescent="0.3">
      <c r="A38" s="21"/>
      <c r="B38" s="4">
        <f t="shared" si="0"/>
        <v>37</v>
      </c>
      <c r="C38" s="5" t="s">
        <v>44</v>
      </c>
      <c r="D38" s="1">
        <v>62638</v>
      </c>
      <c r="E38" s="1">
        <v>352940</v>
      </c>
      <c r="F38" s="1">
        <v>15624</v>
      </c>
      <c r="G38" s="1">
        <v>173</v>
      </c>
      <c r="H38" s="1">
        <v>0.79859756486262501</v>
      </c>
      <c r="I38" s="1">
        <v>0.99724570537007795</v>
      </c>
      <c r="J38" s="1">
        <v>0.88802251316694103</v>
      </c>
      <c r="K38" s="1">
        <v>0.86644639057031003</v>
      </c>
    </row>
    <row r="39" spans="1:11" x14ac:dyDescent="0.3">
      <c r="A39" s="21"/>
      <c r="B39" s="4">
        <f t="shared" si="0"/>
        <v>38</v>
      </c>
      <c r="C39" s="5" t="s">
        <v>45</v>
      </c>
      <c r="D39" s="1">
        <v>71714</v>
      </c>
      <c r="E39" s="1">
        <v>358403</v>
      </c>
      <c r="F39" s="1">
        <v>4989</v>
      </c>
      <c r="G39" s="1">
        <v>140</v>
      </c>
      <c r="H39" s="1">
        <v>0.93325351691110403</v>
      </c>
      <c r="I39" s="1">
        <v>0.998051604642747</v>
      </c>
      <c r="J39" s="1">
        <v>0.96547453166124697</v>
      </c>
      <c r="K39" s="1">
        <v>0.95837913875955105</v>
      </c>
    </row>
    <row r="40" spans="1:11" x14ac:dyDescent="0.3">
      <c r="A40" s="21"/>
      <c r="B40" s="4">
        <f t="shared" si="0"/>
        <v>39</v>
      </c>
      <c r="C40" s="5" t="s">
        <v>46</v>
      </c>
      <c r="D40" s="1">
        <v>28509</v>
      </c>
      <c r="E40" s="1">
        <v>449462</v>
      </c>
      <c r="F40" s="1">
        <v>6633</v>
      </c>
      <c r="G40" s="1">
        <v>100</v>
      </c>
      <c r="H40" s="1">
        <v>0.80894954883377701</v>
      </c>
      <c r="I40" s="1">
        <v>0.99650459645566003</v>
      </c>
      <c r="J40" s="1">
        <v>0.89438597041614998</v>
      </c>
      <c r="K40" s="1">
        <v>0.88703509460781405</v>
      </c>
    </row>
    <row r="41" spans="1:11" x14ac:dyDescent="0.3">
      <c r="A41" s="21"/>
      <c r="B41" s="4">
        <f t="shared" si="0"/>
        <v>40</v>
      </c>
      <c r="C41" s="5" t="s">
        <v>47</v>
      </c>
      <c r="D41" s="1">
        <v>23931</v>
      </c>
      <c r="E41" s="1">
        <v>439843</v>
      </c>
      <c r="F41" s="1">
        <v>65660</v>
      </c>
      <c r="G41" s="1">
        <v>27</v>
      </c>
      <c r="H41" s="1">
        <v>0.26703340846704898</v>
      </c>
      <c r="I41" s="1">
        <v>0.99887302779864695</v>
      </c>
      <c r="J41" s="1">
        <v>0.42150965662401202</v>
      </c>
      <c r="K41" s="1">
        <v>0.37702632066276298</v>
      </c>
    </row>
    <row r="42" spans="1:11" x14ac:dyDescent="0.3">
      <c r="A42" s="21"/>
      <c r="B42" s="4">
        <f t="shared" si="0"/>
        <v>41</v>
      </c>
      <c r="C42" s="5" t="s">
        <v>48</v>
      </c>
      <c r="D42" s="1">
        <v>32393</v>
      </c>
      <c r="E42" s="1">
        <v>349051</v>
      </c>
      <c r="F42" s="1">
        <v>54688</v>
      </c>
      <c r="G42" s="1">
        <v>700</v>
      </c>
      <c r="H42" s="1">
        <v>0.369020630888233</v>
      </c>
      <c r="I42" s="1">
        <v>0.97884749040582597</v>
      </c>
      <c r="J42" s="1">
        <v>0.53910163596118899</v>
      </c>
      <c r="K42" s="1">
        <v>0.48225856925855598</v>
      </c>
    </row>
    <row r="43" spans="1:11" x14ac:dyDescent="0.3">
      <c r="B43" s="2"/>
      <c r="C43" s="2"/>
    </row>
    <row r="44" spans="1:11" x14ac:dyDescent="0.3">
      <c r="B44" s="2"/>
      <c r="C44" s="2"/>
    </row>
    <row r="45" spans="1:11" x14ac:dyDescent="0.3">
      <c r="B45" s="2"/>
      <c r="C45" s="2"/>
      <c r="G45" s="2" t="s">
        <v>49</v>
      </c>
      <c r="H45" s="2">
        <f>AVERAGE(H2:H42)</f>
        <v>0.78434235975762157</v>
      </c>
      <c r="I45" s="2">
        <f>AVERAGE(I2:I42)</f>
        <v>0.95093407888843917</v>
      </c>
    </row>
    <row r="46" spans="1:11" x14ac:dyDescent="0.3">
      <c r="B46" s="2"/>
      <c r="C46" s="2"/>
      <c r="G46" s="2" t="s">
        <v>50</v>
      </c>
      <c r="H46" s="2">
        <f>STDEV(H2:H42)</f>
        <v>0.18780184245749565</v>
      </c>
      <c r="I46" s="2">
        <f>STDEV(I2:I42)</f>
        <v>8.8599756093256057E-2</v>
      </c>
    </row>
  </sheetData>
  <mergeCells count="2">
    <mergeCell ref="A2:A19"/>
    <mergeCell ref="A20:A4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opLeftCell="E1" zoomScale="115" zoomScaleNormal="115" workbookViewId="0">
      <selection activeCell="K10" sqref="K10"/>
    </sheetView>
  </sheetViews>
  <sheetFormatPr defaultRowHeight="15" x14ac:dyDescent="0.3"/>
  <cols>
    <col min="3" max="3" width="39.375" bestFit="1" customWidth="1"/>
  </cols>
  <sheetData>
    <row r="1" spans="1:15" x14ac:dyDescent="0.3">
      <c r="A1" s="2"/>
      <c r="B1" s="2"/>
      <c r="C1" s="2" t="s">
        <v>54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8" t="s">
        <v>4</v>
      </c>
      <c r="M1" s="8" t="s">
        <v>5</v>
      </c>
      <c r="N1" s="8" t="s">
        <v>6</v>
      </c>
      <c r="O1" s="8" t="s">
        <v>7</v>
      </c>
    </row>
    <row r="2" spans="1:15" x14ac:dyDescent="0.3">
      <c r="A2" s="19" t="s">
        <v>55</v>
      </c>
      <c r="B2" s="4">
        <v>1</v>
      </c>
      <c r="C2" s="6" t="s">
        <v>8</v>
      </c>
      <c r="D2" s="1">
        <v>8405</v>
      </c>
      <c r="E2" s="1">
        <v>611182</v>
      </c>
      <c r="F2" s="1">
        <v>17724</v>
      </c>
      <c r="G2" s="1">
        <v>9784</v>
      </c>
      <c r="H2" s="7">
        <v>0.23403781360510101</v>
      </c>
      <c r="I2" s="9">
        <v>0.46209247347297799</v>
      </c>
      <c r="J2" s="1">
        <v>0.37930412022203103</v>
      </c>
      <c r="K2" s="1">
        <v>0.35802612205579998</v>
      </c>
      <c r="L2" s="7">
        <v>0.513852397574032</v>
      </c>
      <c r="M2" s="9">
        <v>0.76043475824976103</v>
      </c>
      <c r="N2" s="1">
        <v>0.67886723751600497</v>
      </c>
      <c r="O2" s="1">
        <v>0.62349023742523502</v>
      </c>
    </row>
    <row r="3" spans="1:15" x14ac:dyDescent="0.3">
      <c r="A3" s="20"/>
      <c r="B3" s="4">
        <f>1+B2</f>
        <v>2</v>
      </c>
      <c r="C3" s="6" t="s">
        <v>9</v>
      </c>
      <c r="D3" s="1">
        <v>213349</v>
      </c>
      <c r="E3" s="1">
        <v>451162</v>
      </c>
      <c r="F3" s="1">
        <v>17475</v>
      </c>
      <c r="G3" s="1">
        <v>14771</v>
      </c>
      <c r="H3" s="7">
        <v>0.86870253873246595</v>
      </c>
      <c r="I3" s="9">
        <v>0.935248991758723</v>
      </c>
      <c r="J3" s="1">
        <v>0.929738704504253</v>
      </c>
      <c r="K3" s="1">
        <v>0.89523692188924098</v>
      </c>
      <c r="L3" s="7">
        <v>0.91444352367846804</v>
      </c>
      <c r="M3" s="9">
        <v>0.99361844496579899</v>
      </c>
      <c r="N3" s="1">
        <v>0.95531000248200504</v>
      </c>
      <c r="O3" s="1">
        <v>0.931268099121626</v>
      </c>
    </row>
    <row r="4" spans="1:15" x14ac:dyDescent="0.3">
      <c r="A4" s="20"/>
      <c r="B4" s="4">
        <f t="shared" ref="B4:B19" si="0">1+B3</f>
        <v>3</v>
      </c>
      <c r="C4" s="6" t="s">
        <v>10</v>
      </c>
      <c r="D4" s="1">
        <v>10590</v>
      </c>
      <c r="E4" s="1">
        <v>377853</v>
      </c>
      <c r="F4" s="1">
        <v>540</v>
      </c>
      <c r="G4" s="1">
        <v>16681</v>
      </c>
      <c r="H4" s="7">
        <v>0.380784581640358</v>
      </c>
      <c r="I4" s="9">
        <v>0.38832459389094598</v>
      </c>
      <c r="J4" s="1">
        <v>0.55154813676727099</v>
      </c>
      <c r="K4" s="1">
        <v>0.53336387921697404</v>
      </c>
      <c r="L4" s="7">
        <v>0.89144223107569698</v>
      </c>
      <c r="M4" s="9">
        <v>0.97334261353749696</v>
      </c>
      <c r="N4" s="1">
        <v>0.94260582367214796</v>
      </c>
      <c r="O4" s="1">
        <v>0.93805236656246005</v>
      </c>
    </row>
    <row r="5" spans="1:15" x14ac:dyDescent="0.3">
      <c r="A5" s="20"/>
      <c r="B5" s="4">
        <f t="shared" si="0"/>
        <v>4</v>
      </c>
      <c r="C5" s="6" t="s">
        <v>11</v>
      </c>
      <c r="D5" s="1">
        <v>20254</v>
      </c>
      <c r="E5" s="1">
        <v>386779</v>
      </c>
      <c r="F5" s="1">
        <v>28722</v>
      </c>
      <c r="G5" s="1">
        <v>1343</v>
      </c>
      <c r="H5" s="7">
        <v>0.40251197360837798</v>
      </c>
      <c r="I5" s="9">
        <v>0.93781543732925798</v>
      </c>
      <c r="J5" s="1">
        <v>0.57398721890808102</v>
      </c>
      <c r="K5" s="1">
        <v>0.54262073720764203</v>
      </c>
      <c r="L5" s="7">
        <v>0.366344327404593</v>
      </c>
      <c r="M5" s="9">
        <v>0.98835313300722105</v>
      </c>
      <c r="N5" s="1">
        <v>0.536240126382306</v>
      </c>
      <c r="O5" s="1">
        <v>0.499507690816542</v>
      </c>
    </row>
    <row r="6" spans="1:15" x14ac:dyDescent="0.3">
      <c r="A6" s="20"/>
      <c r="B6" s="4">
        <f t="shared" si="0"/>
        <v>5</v>
      </c>
      <c r="C6" s="6" t="s">
        <v>12</v>
      </c>
      <c r="D6" s="1">
        <v>125526</v>
      </c>
      <c r="E6" s="1">
        <v>265368</v>
      </c>
      <c r="F6" s="1">
        <v>115826</v>
      </c>
      <c r="G6" s="1">
        <v>7625</v>
      </c>
      <c r="H6" s="7">
        <v>0.50416705157504504</v>
      </c>
      <c r="I6" s="9">
        <v>0.94273418900346195</v>
      </c>
      <c r="J6" s="1">
        <v>0.67036045105112596</v>
      </c>
      <c r="K6" s="1">
        <v>0.50529179226203402</v>
      </c>
      <c r="L6" s="7">
        <v>0.80498290249496895</v>
      </c>
      <c r="M6" s="9">
        <v>0.90636066197149601</v>
      </c>
      <c r="N6" s="1">
        <v>0.891956263277915</v>
      </c>
      <c r="O6" s="1">
        <v>0.85542237162179202</v>
      </c>
    </row>
    <row r="7" spans="1:15" x14ac:dyDescent="0.3">
      <c r="A7" s="20"/>
      <c r="B7" s="4">
        <f t="shared" si="0"/>
        <v>6</v>
      </c>
      <c r="C7" s="6" t="s">
        <v>13</v>
      </c>
      <c r="D7" s="1">
        <v>113258</v>
      </c>
      <c r="E7" s="1">
        <v>481125</v>
      </c>
      <c r="F7" s="1">
        <v>19820</v>
      </c>
      <c r="G7" s="1">
        <v>52138</v>
      </c>
      <c r="H7" s="7">
        <v>0.61149144782308196</v>
      </c>
      <c r="I7" s="9">
        <v>0.68476867638878802</v>
      </c>
      <c r="J7" s="1">
        <v>0.75891367422288003</v>
      </c>
      <c r="K7" s="1">
        <v>0.690383402295209</v>
      </c>
      <c r="L7" s="7">
        <v>0.64069160673953096</v>
      </c>
      <c r="M7" s="9">
        <v>0.85109288675223904</v>
      </c>
      <c r="N7" s="1">
        <v>0.78100187031826995</v>
      </c>
      <c r="O7" s="1">
        <v>0.70856201681727204</v>
      </c>
    </row>
    <row r="8" spans="1:15" x14ac:dyDescent="0.3">
      <c r="A8" s="20"/>
      <c r="B8" s="4">
        <f t="shared" si="0"/>
        <v>7</v>
      </c>
      <c r="C8" s="6" t="s">
        <v>14</v>
      </c>
      <c r="D8" s="1">
        <v>158023</v>
      </c>
      <c r="E8" s="1">
        <v>540401</v>
      </c>
      <c r="F8" s="1">
        <v>5084</v>
      </c>
      <c r="G8" s="1">
        <v>6009</v>
      </c>
      <c r="H8" s="7">
        <v>0.93440596986683699</v>
      </c>
      <c r="I8" s="9">
        <v>0.96336690401872804</v>
      </c>
      <c r="J8" s="1">
        <v>0.96609086657353604</v>
      </c>
      <c r="K8" s="1">
        <v>0.95593157035918097</v>
      </c>
      <c r="L8" s="7">
        <v>0.948430250075323</v>
      </c>
      <c r="M8" s="9">
        <v>0.98107562270925197</v>
      </c>
      <c r="N8" s="1">
        <v>0.97353266819652196</v>
      </c>
      <c r="O8" s="1">
        <v>0.96555319970356002</v>
      </c>
    </row>
    <row r="9" spans="1:15" x14ac:dyDescent="0.3">
      <c r="A9" s="20"/>
      <c r="B9" s="4">
        <f t="shared" si="0"/>
        <v>8</v>
      </c>
      <c r="C9" s="6" t="s">
        <v>15</v>
      </c>
      <c r="D9" s="1">
        <v>202717</v>
      </c>
      <c r="E9" s="1">
        <v>499820</v>
      </c>
      <c r="F9" s="1">
        <v>2329</v>
      </c>
      <c r="G9" s="1">
        <v>25363</v>
      </c>
      <c r="H9" s="7">
        <v>0.87981372255423995</v>
      </c>
      <c r="I9" s="9">
        <v>0.88879779024903505</v>
      </c>
      <c r="J9" s="1">
        <v>0.93606479407839704</v>
      </c>
      <c r="K9" s="1">
        <v>0.90921778185858204</v>
      </c>
      <c r="L9" s="7">
        <v>0.90885986897067195</v>
      </c>
      <c r="M9" s="9">
        <v>0.953070822574695</v>
      </c>
      <c r="N9" s="1">
        <v>0.95225415311471995</v>
      </c>
      <c r="O9" s="1">
        <v>0.93151348165456305</v>
      </c>
    </row>
    <row r="10" spans="1:15" x14ac:dyDescent="0.3">
      <c r="A10" s="20"/>
      <c r="B10" s="4">
        <f t="shared" si="0"/>
        <v>9</v>
      </c>
      <c r="C10" s="6" t="s">
        <v>16</v>
      </c>
      <c r="D10" s="1">
        <v>188154</v>
      </c>
      <c r="E10" s="1">
        <v>265050</v>
      </c>
      <c r="F10" s="1">
        <v>4101</v>
      </c>
      <c r="G10" s="1">
        <v>126453</v>
      </c>
      <c r="H10" s="7">
        <v>0.59036484807409895</v>
      </c>
      <c r="I10" s="9">
        <v>0.59806043730749703</v>
      </c>
      <c r="J10" s="1">
        <v>0.74242693277460103</v>
      </c>
      <c r="K10" s="1">
        <v>0.56429208181602297</v>
      </c>
      <c r="L10" s="7">
        <v>0.48519383188833298</v>
      </c>
      <c r="M10" s="9">
        <v>0.49424080608589399</v>
      </c>
      <c r="N10" s="1">
        <v>0.65337442355445197</v>
      </c>
      <c r="O10" s="1">
        <v>0.45610519566565499</v>
      </c>
    </row>
    <row r="11" spans="1:15" x14ac:dyDescent="0.3">
      <c r="A11" s="20"/>
      <c r="B11" s="4">
        <f t="shared" si="0"/>
        <v>10</v>
      </c>
      <c r="C11" s="6" t="s">
        <v>17</v>
      </c>
      <c r="D11" s="1">
        <v>45763</v>
      </c>
      <c r="E11" s="1">
        <v>608022</v>
      </c>
      <c r="F11" s="1">
        <v>30499</v>
      </c>
      <c r="G11" s="1">
        <v>9184</v>
      </c>
      <c r="H11" s="7">
        <v>0.53557802588769499</v>
      </c>
      <c r="I11" s="9">
        <v>0.83285711685806296</v>
      </c>
      <c r="J11" s="1">
        <v>0.69755885648088101</v>
      </c>
      <c r="K11" s="1">
        <v>0.66687582451308902</v>
      </c>
      <c r="L11" s="7">
        <v>0.65656839509195997</v>
      </c>
      <c r="M11" s="9">
        <v>0.93030806215767403</v>
      </c>
      <c r="N11" s="1">
        <v>0.79268492268381396</v>
      </c>
      <c r="O11" s="1">
        <v>0.76096968652893704</v>
      </c>
    </row>
    <row r="12" spans="1:15" x14ac:dyDescent="0.3">
      <c r="A12" s="20"/>
      <c r="B12" s="4">
        <f t="shared" si="0"/>
        <v>11</v>
      </c>
      <c r="C12" s="6" t="s">
        <v>18</v>
      </c>
      <c r="D12" s="1">
        <v>22323</v>
      </c>
      <c r="E12" s="1">
        <v>349446</v>
      </c>
      <c r="F12" s="1">
        <v>26402</v>
      </c>
      <c r="G12" s="1">
        <v>1083</v>
      </c>
      <c r="H12" s="7">
        <v>0.44818101509797598</v>
      </c>
      <c r="I12" s="9">
        <v>0.95372981286849501</v>
      </c>
      <c r="J12" s="1">
        <v>0.61895717513967596</v>
      </c>
      <c r="K12" s="1">
        <v>0.58618182203121605</v>
      </c>
      <c r="L12" s="7">
        <v>0.43033146353900997</v>
      </c>
      <c r="M12" s="9">
        <v>0.96824085547753402</v>
      </c>
      <c r="N12" s="1">
        <v>0.60172271184506998</v>
      </c>
      <c r="O12" s="1">
        <v>0.56842613413376497</v>
      </c>
    </row>
    <row r="13" spans="1:15" x14ac:dyDescent="0.3">
      <c r="A13" s="20"/>
      <c r="B13" s="4">
        <f t="shared" si="0"/>
        <v>12</v>
      </c>
      <c r="C13" s="6" t="s">
        <v>19</v>
      </c>
      <c r="D13" s="1">
        <v>81981</v>
      </c>
      <c r="E13" s="1">
        <v>474985</v>
      </c>
      <c r="F13" s="1">
        <v>6903</v>
      </c>
      <c r="G13" s="1">
        <v>5734</v>
      </c>
      <c r="H13" s="7">
        <v>0.86644190323194303</v>
      </c>
      <c r="I13" s="9">
        <v>0.93462919683064405</v>
      </c>
      <c r="J13" s="1">
        <v>0.92844240341111695</v>
      </c>
      <c r="K13" s="1">
        <v>0.91531519293916896</v>
      </c>
      <c r="L13" s="7">
        <v>0.86143240931903897</v>
      </c>
      <c r="M13" s="9">
        <v>0.95347458599456902</v>
      </c>
      <c r="N13" s="1">
        <v>0.925558623570086</v>
      </c>
      <c r="O13" s="1">
        <v>0.907844056521252</v>
      </c>
    </row>
    <row r="14" spans="1:15" x14ac:dyDescent="0.3">
      <c r="A14" s="20"/>
      <c r="B14" s="4">
        <f t="shared" si="0"/>
        <v>13</v>
      </c>
      <c r="C14" s="6" t="s">
        <v>20</v>
      </c>
      <c r="D14" s="1">
        <v>160630</v>
      </c>
      <c r="E14" s="1">
        <v>501698</v>
      </c>
      <c r="F14" s="1">
        <v>3494</v>
      </c>
      <c r="G14" s="1">
        <v>40085</v>
      </c>
      <c r="H14" s="7">
        <v>0.78659608538311199</v>
      </c>
      <c r="I14" s="9">
        <v>0.80028896694317797</v>
      </c>
      <c r="J14" s="1">
        <v>0.88055279177938695</v>
      </c>
      <c r="K14" s="1">
        <v>0.83949167770556898</v>
      </c>
      <c r="L14" s="7">
        <v>0.91389588279020695</v>
      </c>
      <c r="M14" s="9">
        <v>0.94225178006329102</v>
      </c>
      <c r="N14" s="1">
        <v>0.95501107558459997</v>
      </c>
      <c r="O14" s="1">
        <v>0.93641926979588597</v>
      </c>
    </row>
    <row r="15" spans="1:15" x14ac:dyDescent="0.3">
      <c r="A15" s="20"/>
      <c r="B15" s="4">
        <f t="shared" si="0"/>
        <v>14</v>
      </c>
      <c r="C15" s="6" t="s">
        <v>21</v>
      </c>
      <c r="D15" s="1">
        <v>287468</v>
      </c>
      <c r="E15" s="1">
        <v>308153</v>
      </c>
      <c r="F15" s="1">
        <v>22879</v>
      </c>
      <c r="G15" s="1">
        <v>64113</v>
      </c>
      <c r="H15" s="7">
        <v>0.76768680232868602</v>
      </c>
      <c r="I15" s="9">
        <v>0.81764372932553198</v>
      </c>
      <c r="J15" s="1">
        <v>0.86857785136751997</v>
      </c>
      <c r="K15" s="1">
        <v>0.745814678407138</v>
      </c>
      <c r="L15" s="7">
        <v>0.89318885448916396</v>
      </c>
      <c r="M15" s="9">
        <v>0.91063748419631596</v>
      </c>
      <c r="N15" s="1">
        <v>0.94358135731807002</v>
      </c>
      <c r="O15" s="1">
        <v>0.88904282468438101</v>
      </c>
    </row>
    <row r="16" spans="1:15" x14ac:dyDescent="0.3">
      <c r="A16" s="20"/>
      <c r="B16" s="4">
        <f t="shared" si="0"/>
        <v>15</v>
      </c>
      <c r="C16" s="6" t="s">
        <v>22</v>
      </c>
      <c r="D16" s="1">
        <v>86707</v>
      </c>
      <c r="E16" s="1">
        <v>560656</v>
      </c>
      <c r="F16" s="1">
        <v>7554</v>
      </c>
      <c r="G16" s="1">
        <v>23639</v>
      </c>
      <c r="H16" s="7">
        <v>0.73542832909245104</v>
      </c>
      <c r="I16" s="9">
        <v>0.78577383865296402</v>
      </c>
      <c r="J16" s="1">
        <v>0.84754676037476695</v>
      </c>
      <c r="K16" s="1">
        <v>0.82067811684431902</v>
      </c>
      <c r="L16" s="7">
        <v>0.85479072283453905</v>
      </c>
      <c r="M16" s="9">
        <v>0.97233332307786902</v>
      </c>
      <c r="N16" s="1">
        <v>0.92171123384553599</v>
      </c>
      <c r="O16" s="1">
        <v>0.90225186918896105</v>
      </c>
    </row>
    <row r="17" spans="1:26" x14ac:dyDescent="0.3">
      <c r="A17" s="20"/>
      <c r="B17" s="4">
        <f t="shared" si="0"/>
        <v>16</v>
      </c>
      <c r="C17" s="6" t="s">
        <v>23</v>
      </c>
      <c r="D17" s="1">
        <v>73826</v>
      </c>
      <c r="E17" s="1">
        <v>491272</v>
      </c>
      <c r="F17" s="1">
        <v>7581</v>
      </c>
      <c r="G17" s="1">
        <v>45354</v>
      </c>
      <c r="H17" s="7">
        <v>0.58240310505597104</v>
      </c>
      <c r="I17" s="9">
        <v>0.61944957207585105</v>
      </c>
      <c r="J17" s="1">
        <v>0.73609954782712705</v>
      </c>
      <c r="K17" s="1">
        <v>0.687127525847262</v>
      </c>
      <c r="L17" s="7">
        <v>0.84194785895929303</v>
      </c>
      <c r="M17" s="9">
        <v>0.98806987332905205</v>
      </c>
      <c r="N17" s="1">
        <v>0.91419293425058901</v>
      </c>
      <c r="O17" s="1">
        <v>0.887979922566693</v>
      </c>
    </row>
    <row r="18" spans="1:26" x14ac:dyDescent="0.3">
      <c r="A18" s="20"/>
      <c r="B18" s="4">
        <f t="shared" si="0"/>
        <v>17</v>
      </c>
      <c r="C18" s="6" t="s">
        <v>24</v>
      </c>
      <c r="D18" s="1">
        <v>131876</v>
      </c>
      <c r="E18" s="1">
        <v>381370</v>
      </c>
      <c r="F18" s="1">
        <v>8325</v>
      </c>
      <c r="G18" s="1">
        <v>34864</v>
      </c>
      <c r="H18" s="7">
        <v>0.75329734669979698</v>
      </c>
      <c r="I18" s="9">
        <v>0.79090800047978804</v>
      </c>
      <c r="J18" s="1">
        <v>0.859292176672389</v>
      </c>
      <c r="K18" s="1">
        <v>0.80625471965940398</v>
      </c>
      <c r="L18" s="7">
        <v>0.82674757982950398</v>
      </c>
      <c r="M18" s="9">
        <v>0.85318764426259797</v>
      </c>
      <c r="N18" s="1">
        <v>0.90515798565521199</v>
      </c>
      <c r="O18" s="1">
        <v>0.86674382301634101</v>
      </c>
    </row>
    <row r="19" spans="1:26" x14ac:dyDescent="0.3">
      <c r="A19" s="20"/>
      <c r="B19" s="4">
        <f t="shared" si="0"/>
        <v>18</v>
      </c>
      <c r="C19" s="6" t="s">
        <v>25</v>
      </c>
      <c r="D19" s="1">
        <v>55288</v>
      </c>
      <c r="E19" s="1">
        <v>525119</v>
      </c>
      <c r="F19" s="1">
        <v>43960</v>
      </c>
      <c r="G19" s="1">
        <v>509</v>
      </c>
      <c r="H19" s="7">
        <v>0.55422677105366003</v>
      </c>
      <c r="I19" s="9">
        <v>0.99087764575156301</v>
      </c>
      <c r="J19" s="1">
        <v>0.71318649424360603</v>
      </c>
      <c r="K19" s="1">
        <v>0.67616684403823801</v>
      </c>
      <c r="L19" s="7">
        <v>0.73081361483256202</v>
      </c>
      <c r="M19" s="9">
        <v>0.94045766978757095</v>
      </c>
      <c r="N19" s="1">
        <v>0.84447407689621201</v>
      </c>
      <c r="O19" s="1">
        <v>0.82178150976297404</v>
      </c>
    </row>
    <row r="20" spans="1:26" x14ac:dyDescent="0.3">
      <c r="H20">
        <f>AVERAGE(H2:H19)</f>
        <v>0.63533996285060534</v>
      </c>
      <c r="I20">
        <f>AVERAGE(I2:I19)</f>
        <v>0.79596485406697193</v>
      </c>
      <c r="L20">
        <f>AVERAGE(L2:L19)</f>
        <v>0.74910876231038304</v>
      </c>
      <c r="M20">
        <f>AVERAGE(M2:M19)</f>
        <v>0.90891950156668477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">
      <c r="A22" s="22" t="s">
        <v>53</v>
      </c>
      <c r="B22" s="2">
        <f>1+B19</f>
        <v>19</v>
      </c>
      <c r="C22" s="1" t="s">
        <v>26</v>
      </c>
      <c r="D22" s="10">
        <v>69465</v>
      </c>
      <c r="E22" s="10">
        <v>360241</v>
      </c>
      <c r="F22" s="10">
        <v>2774</v>
      </c>
      <c r="G22" s="10">
        <v>1748</v>
      </c>
      <c r="H22" s="7">
        <v>0.93888115479746403</v>
      </c>
      <c r="I22" s="9">
        <v>0.97545391993034902</v>
      </c>
      <c r="J22" s="10">
        <v>0.96847726068650097</v>
      </c>
      <c r="K22" s="10">
        <v>0.96224043590528696</v>
      </c>
      <c r="L22" s="7">
        <v>0.93930859422216795</v>
      </c>
      <c r="M22" s="9">
        <v>0.99298474277390103</v>
      </c>
      <c r="N22" s="1">
        <v>0.96870461670790697</v>
      </c>
      <c r="O22" s="1">
        <v>0.96128480175858799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22"/>
      <c r="B23" s="2">
        <f t="shared" ref="B23:B44" si="1">1+B22</f>
        <v>20</v>
      </c>
      <c r="C23" s="1" t="s">
        <v>27</v>
      </c>
      <c r="D23" s="10">
        <v>162618</v>
      </c>
      <c r="E23" s="10">
        <v>436347</v>
      </c>
      <c r="F23" s="10">
        <v>22896</v>
      </c>
      <c r="G23" s="10">
        <v>8591</v>
      </c>
      <c r="H23" s="7">
        <v>0.837783673784807</v>
      </c>
      <c r="I23" s="9">
        <v>0.94982156311876098</v>
      </c>
      <c r="J23" s="10">
        <v>0.91173263288321704</v>
      </c>
      <c r="K23" s="10">
        <v>0.876986897326689</v>
      </c>
      <c r="L23" s="7">
        <v>0.898899184114059</v>
      </c>
      <c r="M23" s="9">
        <v>0.997974243078663</v>
      </c>
      <c r="N23" s="1">
        <v>0.94675819720618304</v>
      </c>
      <c r="O23" s="1">
        <v>0.92633032214327005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22"/>
      <c r="B24" s="2">
        <f t="shared" si="1"/>
        <v>21</v>
      </c>
      <c r="C24" s="1" t="s">
        <v>28</v>
      </c>
      <c r="D24" s="10">
        <v>152014</v>
      </c>
      <c r="E24" s="10">
        <v>381519</v>
      </c>
      <c r="F24" s="10">
        <v>4434</v>
      </c>
      <c r="G24" s="10">
        <v>408</v>
      </c>
      <c r="H24" s="7">
        <v>0.96913092262967304</v>
      </c>
      <c r="I24" s="9">
        <v>0.99732322105732696</v>
      </c>
      <c r="J24" s="10">
        <v>0.984323501796872</v>
      </c>
      <c r="K24" s="10">
        <v>0.97801933120645301</v>
      </c>
      <c r="L24" s="7">
        <v>0.96888243357100601</v>
      </c>
      <c r="M24" s="9">
        <v>0.999850761763866</v>
      </c>
      <c r="N24" s="1">
        <v>0.98419531511967595</v>
      </c>
      <c r="O24" s="1">
        <v>0.97744841091453705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22"/>
      <c r="B25" s="2">
        <f t="shared" si="1"/>
        <v>22</v>
      </c>
      <c r="C25" s="1" t="s">
        <v>29</v>
      </c>
      <c r="D25" s="10">
        <v>181207</v>
      </c>
      <c r="E25" s="10">
        <v>628468</v>
      </c>
      <c r="F25" s="10">
        <v>3066</v>
      </c>
      <c r="G25" s="10">
        <v>15839</v>
      </c>
      <c r="H25" s="7">
        <v>0.90552790437355002</v>
      </c>
      <c r="I25" s="9">
        <v>0.91961775422997605</v>
      </c>
      <c r="J25" s="10">
        <v>0.95042208754349999</v>
      </c>
      <c r="K25" s="10">
        <v>0.93562599836556304</v>
      </c>
      <c r="L25" s="7">
        <v>0.90037102941733205</v>
      </c>
      <c r="M25" s="9">
        <v>0.995593791537149</v>
      </c>
      <c r="N25" s="1">
        <v>0.94757393738357698</v>
      </c>
      <c r="O25" s="1">
        <v>0.93050386048637401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3">
      <c r="A26" s="22"/>
      <c r="B26" s="2">
        <f t="shared" si="1"/>
        <v>23</v>
      </c>
      <c r="C26" s="1" t="s">
        <v>30</v>
      </c>
      <c r="D26" s="10">
        <v>207726</v>
      </c>
      <c r="E26" s="10">
        <v>490812</v>
      </c>
      <c r="F26" s="10">
        <v>7372</v>
      </c>
      <c r="G26" s="10">
        <v>2288</v>
      </c>
      <c r="H26" s="7">
        <v>0.95556291573514396</v>
      </c>
      <c r="I26" s="9">
        <v>0.989105488205548</v>
      </c>
      <c r="J26" s="10">
        <v>0.97727657652571498</v>
      </c>
      <c r="K26" s="10">
        <v>0.96753363098644896</v>
      </c>
      <c r="L26" s="7">
        <v>0.92685664642433196</v>
      </c>
      <c r="M26" s="9">
        <v>0.97968433206956995</v>
      </c>
      <c r="N26" s="1">
        <v>0.96204006472852999</v>
      </c>
      <c r="O26" s="1">
        <v>0.94192435383480699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22"/>
      <c r="B27" s="2">
        <f t="shared" si="1"/>
        <v>24</v>
      </c>
      <c r="C27" s="1" t="s">
        <v>31</v>
      </c>
      <c r="D27" s="10">
        <v>173626</v>
      </c>
      <c r="E27" s="10">
        <v>269157</v>
      </c>
      <c r="F27" s="10">
        <v>43594</v>
      </c>
      <c r="G27" s="10">
        <v>3120</v>
      </c>
      <c r="H27" s="7">
        <v>0.787991286194063</v>
      </c>
      <c r="I27" s="9">
        <v>0.98234754959093795</v>
      </c>
      <c r="J27" s="10">
        <v>0.881426315976505</v>
      </c>
      <c r="K27" s="10">
        <v>0.80297748386845202</v>
      </c>
      <c r="L27" s="7">
        <v>0.68930156808486098</v>
      </c>
      <c r="M27" s="9">
        <v>0.99293084476923998</v>
      </c>
      <c r="N27" s="1">
        <v>0.81607876427453097</v>
      </c>
      <c r="O27" s="1">
        <v>0.65412946698624996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3">
      <c r="A28" s="22"/>
      <c r="B28" s="2">
        <f t="shared" si="1"/>
        <v>25</v>
      </c>
      <c r="C28" s="1" t="s">
        <v>32</v>
      </c>
      <c r="D28" s="10">
        <v>242468</v>
      </c>
      <c r="E28" s="10">
        <v>413794</v>
      </c>
      <c r="F28" s="10">
        <v>2526</v>
      </c>
      <c r="G28" s="10">
        <v>1697</v>
      </c>
      <c r="H28" s="7">
        <v>0.98288141845466503</v>
      </c>
      <c r="I28" s="9">
        <v>0.993049781909774</v>
      </c>
      <c r="J28" s="10">
        <v>0.99136681528909798</v>
      </c>
      <c r="K28" s="10">
        <v>0.98628996401138302</v>
      </c>
      <c r="L28" s="7">
        <v>0.85438514662293297</v>
      </c>
      <c r="M28" s="9">
        <v>0.93480560208411301</v>
      </c>
      <c r="N28" s="1">
        <v>0.92147539919511801</v>
      </c>
      <c r="O28" s="1">
        <v>0.87020813906660299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22"/>
      <c r="B29" s="4">
        <f t="shared" si="1"/>
        <v>26</v>
      </c>
      <c r="C29" s="5" t="s">
        <v>33</v>
      </c>
      <c r="D29" s="10">
        <v>145799</v>
      </c>
      <c r="E29" s="10">
        <v>386179</v>
      </c>
      <c r="F29" s="10">
        <v>2958</v>
      </c>
      <c r="G29" s="10">
        <v>2927</v>
      </c>
      <c r="H29" s="7">
        <v>0.96120223622794698</v>
      </c>
      <c r="I29" s="9">
        <v>0.98031951373667003</v>
      </c>
      <c r="J29" s="10">
        <v>0.98021735695821199</v>
      </c>
      <c r="K29" s="10">
        <v>0.97265545160003397</v>
      </c>
      <c r="L29" s="7">
        <v>0.82170885648088399</v>
      </c>
      <c r="M29" s="9">
        <v>0.91199661682854904</v>
      </c>
      <c r="N29" s="1">
        <v>0.902129726775587</v>
      </c>
      <c r="O29" s="1">
        <v>0.86285147666166095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A30" s="22"/>
      <c r="B30" s="4">
        <f t="shared" si="1"/>
        <v>27</v>
      </c>
      <c r="C30" s="5" t="s">
        <v>34</v>
      </c>
      <c r="D30" s="10">
        <v>99101</v>
      </c>
      <c r="E30" s="10">
        <v>556597</v>
      </c>
      <c r="F30" s="10">
        <v>1353</v>
      </c>
      <c r="G30" s="10">
        <v>1049</v>
      </c>
      <c r="H30" s="7">
        <v>0.97633567480764105</v>
      </c>
      <c r="I30" s="9">
        <v>0.98952571143284995</v>
      </c>
      <c r="J30" s="10">
        <v>0.98802616099379803</v>
      </c>
      <c r="K30" s="10">
        <v>0.985873057637496</v>
      </c>
      <c r="L30" s="7">
        <v>0.56321774406814895</v>
      </c>
      <c r="M30" s="9">
        <v>0.99926127798907805</v>
      </c>
      <c r="N30" s="1">
        <v>0.72058770597424204</v>
      </c>
      <c r="O30" s="1">
        <v>0.65013463872925104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22"/>
      <c r="B31" s="4">
        <f t="shared" si="1"/>
        <v>28</v>
      </c>
      <c r="C31" s="5" t="s">
        <v>35</v>
      </c>
      <c r="D31" s="10">
        <v>156560</v>
      </c>
      <c r="E31" s="10">
        <v>250799</v>
      </c>
      <c r="F31" s="10">
        <v>802</v>
      </c>
      <c r="G31" s="10">
        <v>49539</v>
      </c>
      <c r="H31" s="7">
        <v>0.75669039782311298</v>
      </c>
      <c r="I31" s="9">
        <v>0.75963493272650495</v>
      </c>
      <c r="J31" s="10">
        <v>0.86149545618374401</v>
      </c>
      <c r="K31" s="10">
        <v>0.77297598280255597</v>
      </c>
      <c r="L31" s="7">
        <v>0.97574620599651596</v>
      </c>
      <c r="M31" s="9">
        <v>0.99406589109394805</v>
      </c>
      <c r="N31" s="1">
        <v>0.98772423607350401</v>
      </c>
      <c r="O31" s="1">
        <v>0.97685440640525401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22"/>
      <c r="B32" s="4">
        <f t="shared" si="1"/>
        <v>29</v>
      </c>
      <c r="C32" s="5" t="s">
        <v>36</v>
      </c>
      <c r="D32" s="10">
        <v>28815</v>
      </c>
      <c r="E32" s="10">
        <v>586879</v>
      </c>
      <c r="F32" s="10">
        <v>1597</v>
      </c>
      <c r="G32" s="10">
        <v>561</v>
      </c>
      <c r="H32" s="7">
        <v>0.93032641332773702</v>
      </c>
      <c r="I32" s="9">
        <v>0.98090277777777701</v>
      </c>
      <c r="J32" s="10">
        <v>0.96390580049508201</v>
      </c>
      <c r="K32" s="10">
        <v>0.96207121442433297</v>
      </c>
      <c r="L32" s="7">
        <v>0.93631503698638596</v>
      </c>
      <c r="M32" s="9">
        <v>0.96421598438050105</v>
      </c>
      <c r="N32" s="1">
        <v>0.96711022648838596</v>
      </c>
      <c r="O32" s="1">
        <v>0.96528132990450799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22"/>
      <c r="B33" s="4">
        <f t="shared" si="1"/>
        <v>30</v>
      </c>
      <c r="C33" s="5" t="s">
        <v>37</v>
      </c>
      <c r="D33" s="10">
        <v>191989</v>
      </c>
      <c r="E33" s="10">
        <v>274948</v>
      </c>
      <c r="F33" s="10">
        <v>5694</v>
      </c>
      <c r="G33" s="10">
        <v>12130</v>
      </c>
      <c r="H33" s="7">
        <v>0.91504816193467498</v>
      </c>
      <c r="I33" s="9">
        <v>0.94057388092240302</v>
      </c>
      <c r="J33" s="10">
        <v>0.95563984250949396</v>
      </c>
      <c r="K33" s="10">
        <v>0.92425783786158899</v>
      </c>
      <c r="L33" s="7">
        <v>0.90985603336621901</v>
      </c>
      <c r="M33" s="9">
        <v>0.99515183749450198</v>
      </c>
      <c r="N33" s="1">
        <v>0.95280064829028099</v>
      </c>
      <c r="O33" s="1">
        <v>0.91781730768557401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3">
      <c r="A34" s="22"/>
      <c r="B34" s="4">
        <f t="shared" si="1"/>
        <v>31</v>
      </c>
      <c r="C34" s="5" t="s">
        <v>38</v>
      </c>
      <c r="D34" s="10">
        <v>27002</v>
      </c>
      <c r="E34" s="10">
        <v>250497</v>
      </c>
      <c r="F34" s="10">
        <v>4922</v>
      </c>
      <c r="G34" s="10">
        <v>998</v>
      </c>
      <c r="H34" s="7">
        <v>0.82018103395905395</v>
      </c>
      <c r="I34" s="9">
        <v>0.96435714285714202</v>
      </c>
      <c r="J34" s="10">
        <v>0.90120819704959598</v>
      </c>
      <c r="K34" s="10">
        <v>0.88958565659115396</v>
      </c>
      <c r="L34" s="7">
        <v>0.73644412538884896</v>
      </c>
      <c r="M34" s="9">
        <v>0.98486351563249996</v>
      </c>
      <c r="N34" s="1">
        <v>0.84822092991207998</v>
      </c>
      <c r="O34" s="1">
        <v>0.82567126433731797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22"/>
      <c r="B35" s="4">
        <f t="shared" si="1"/>
        <v>32</v>
      </c>
      <c r="C35" s="5" t="s">
        <v>39</v>
      </c>
      <c r="D35" s="10">
        <v>112906</v>
      </c>
      <c r="E35" s="10">
        <v>631389</v>
      </c>
      <c r="F35" s="10">
        <v>28768</v>
      </c>
      <c r="G35" s="10">
        <v>1345</v>
      </c>
      <c r="H35" s="7">
        <v>0.78944755591914295</v>
      </c>
      <c r="I35" s="9">
        <v>0.98822767415602397</v>
      </c>
      <c r="J35" s="10">
        <v>0.88233662205724295</v>
      </c>
      <c r="K35" s="10">
        <v>0.85936503958228205</v>
      </c>
      <c r="L35" s="7">
        <v>0.76194783256407805</v>
      </c>
      <c r="M35" s="9">
        <v>0.99817038108348199</v>
      </c>
      <c r="N35" s="1">
        <v>0.86489261314309396</v>
      </c>
      <c r="O35" s="1">
        <v>0.83718642657967501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22"/>
      <c r="B36" s="4">
        <f t="shared" si="1"/>
        <v>33</v>
      </c>
      <c r="C36" s="5" t="s">
        <v>40</v>
      </c>
      <c r="D36" s="10">
        <v>105728</v>
      </c>
      <c r="E36" s="10">
        <v>329472</v>
      </c>
      <c r="F36" s="10">
        <v>6820</v>
      </c>
      <c r="G36" s="10">
        <v>1460</v>
      </c>
      <c r="H36" s="7">
        <v>0.927373517647884</v>
      </c>
      <c r="I36" s="9">
        <v>0.98637907228421096</v>
      </c>
      <c r="J36" s="10">
        <v>0.96231841846579502</v>
      </c>
      <c r="K36" s="10">
        <v>0.94991860662024097</v>
      </c>
      <c r="L36" s="7">
        <v>0.94497422336191395</v>
      </c>
      <c r="M36" s="9">
        <v>0.99886119790686201</v>
      </c>
      <c r="N36" s="1">
        <v>0.97170873733073304</v>
      </c>
      <c r="O36" s="1">
        <v>0.96213735155435898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22"/>
      <c r="B37" s="4">
        <f t="shared" si="1"/>
        <v>34</v>
      </c>
      <c r="C37" s="5" t="s">
        <v>41</v>
      </c>
      <c r="D37" s="10">
        <v>49216</v>
      </c>
      <c r="E37" s="10">
        <v>170358</v>
      </c>
      <c r="F37" s="10">
        <v>52895</v>
      </c>
      <c r="G37" s="10">
        <v>86464</v>
      </c>
      <c r="H37" s="7">
        <v>0.26098899642052198</v>
      </c>
      <c r="I37" s="9">
        <v>0.362735849056603</v>
      </c>
      <c r="J37" s="10">
        <v>0.41394333679575701</v>
      </c>
      <c r="K37" s="10">
        <v>0.13222348590456801</v>
      </c>
      <c r="L37" s="7">
        <v>0.94554986937694596</v>
      </c>
      <c r="M37" s="9">
        <v>0.99507574687644096</v>
      </c>
      <c r="N37" s="1">
        <v>0.97201298641576706</v>
      </c>
      <c r="O37" s="1">
        <v>0.95883859891753798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22"/>
      <c r="B38" s="4">
        <f t="shared" si="1"/>
        <v>35</v>
      </c>
      <c r="C38" s="5" t="s">
        <v>42</v>
      </c>
      <c r="D38" s="1"/>
      <c r="E38" s="1"/>
      <c r="F38" s="1"/>
      <c r="G38" s="1"/>
      <c r="H38" s="7"/>
      <c r="I38" s="9"/>
      <c r="J38" s="1"/>
      <c r="K38" s="1"/>
      <c r="L38" s="7"/>
      <c r="M38" s="9"/>
      <c r="N38" s="1"/>
      <c r="O38" s="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3">
      <c r="A39" s="22"/>
      <c r="B39" s="4">
        <f t="shared" si="1"/>
        <v>36</v>
      </c>
      <c r="C39" s="5" t="s">
        <v>43</v>
      </c>
      <c r="D39" s="10">
        <v>28219</v>
      </c>
      <c r="E39" s="10">
        <v>594414</v>
      </c>
      <c r="F39" s="10">
        <v>3552</v>
      </c>
      <c r="G39" s="10">
        <v>144</v>
      </c>
      <c r="H39" s="7">
        <v>0.88419238602537897</v>
      </c>
      <c r="I39" s="9">
        <v>0.99492296301519501</v>
      </c>
      <c r="J39" s="10">
        <v>0.93853726677087801</v>
      </c>
      <c r="K39" s="10">
        <v>0.93544841295344805</v>
      </c>
      <c r="L39" s="7">
        <v>0.76681504804299405</v>
      </c>
      <c r="M39" s="9">
        <v>0.92830151480300904</v>
      </c>
      <c r="N39" s="1">
        <v>0.86801960272225898</v>
      </c>
      <c r="O39" s="1">
        <v>0.86067437924071699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3">
      <c r="A40" s="22"/>
      <c r="B40" s="4">
        <f t="shared" si="1"/>
        <v>37</v>
      </c>
      <c r="C40" s="5" t="s">
        <v>44</v>
      </c>
      <c r="D40" s="10">
        <v>64563</v>
      </c>
      <c r="E40" s="10">
        <v>367388</v>
      </c>
      <c r="F40" s="10">
        <v>2957</v>
      </c>
      <c r="G40" s="10">
        <v>4942</v>
      </c>
      <c r="H40" s="7">
        <v>0.89099114018381997</v>
      </c>
      <c r="I40" s="9">
        <v>0.92889720164016898</v>
      </c>
      <c r="J40" s="10">
        <v>0.94235358511220502</v>
      </c>
      <c r="K40" s="10">
        <v>0.93172035175539003</v>
      </c>
      <c r="L40" s="7">
        <v>0.79859756486262501</v>
      </c>
      <c r="M40" s="9">
        <v>0.99724570537007795</v>
      </c>
      <c r="N40" s="1">
        <v>0.88802251316694103</v>
      </c>
      <c r="O40" s="1">
        <v>0.86644639057031003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3">
      <c r="A41" s="22"/>
      <c r="B41" s="4">
        <f t="shared" si="1"/>
        <v>38</v>
      </c>
      <c r="C41" s="5" t="s">
        <v>45</v>
      </c>
      <c r="D41" s="10">
        <v>70747</v>
      </c>
      <c r="E41" s="10">
        <v>376448</v>
      </c>
      <c r="F41" s="10">
        <v>1114</v>
      </c>
      <c r="G41" s="10">
        <v>415</v>
      </c>
      <c r="H41" s="7">
        <v>0.97884498312026103</v>
      </c>
      <c r="I41" s="9">
        <v>0.99416823585621505</v>
      </c>
      <c r="J41" s="10">
        <v>0.98930941177293097</v>
      </c>
      <c r="K41" s="10">
        <v>0.98728276027696105</v>
      </c>
      <c r="L41" s="7">
        <v>0.93325351691110403</v>
      </c>
      <c r="M41" s="9">
        <v>0.998051604642747</v>
      </c>
      <c r="N41" s="1">
        <v>0.96547453166124697</v>
      </c>
      <c r="O41" s="1">
        <v>0.95837913875955105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3">
      <c r="A42" s="22"/>
      <c r="B42" s="4">
        <f t="shared" si="1"/>
        <v>39</v>
      </c>
      <c r="C42" s="5" t="s">
        <v>46</v>
      </c>
      <c r="D42" s="10">
        <v>23621</v>
      </c>
      <c r="E42" s="10">
        <v>459890</v>
      </c>
      <c r="F42" s="10">
        <v>2151</v>
      </c>
      <c r="G42" s="10">
        <v>4171</v>
      </c>
      <c r="H42" s="7">
        <v>0.78886551113782799</v>
      </c>
      <c r="I42" s="9">
        <v>0.849920840529648</v>
      </c>
      <c r="J42" s="10">
        <v>0.88197296691807903</v>
      </c>
      <c r="K42" s="10">
        <v>0.875156774221163</v>
      </c>
      <c r="L42" s="7">
        <v>0.80894954883377701</v>
      </c>
      <c r="M42" s="9">
        <v>0.99650459645566003</v>
      </c>
      <c r="N42" s="1">
        <v>0.89438597041614998</v>
      </c>
      <c r="O42" s="1">
        <v>0.88703509460781405</v>
      </c>
    </row>
    <row r="43" spans="1:26" x14ac:dyDescent="0.3">
      <c r="A43" s="22"/>
      <c r="B43" s="4">
        <f t="shared" si="1"/>
        <v>40</v>
      </c>
      <c r="C43" s="5" t="s">
        <v>47</v>
      </c>
      <c r="D43" s="10">
        <v>26250</v>
      </c>
      <c r="E43" s="10">
        <v>494850</v>
      </c>
      <c r="F43" s="10">
        <v>25539</v>
      </c>
      <c r="G43" s="10">
        <v>997</v>
      </c>
      <c r="H43" s="7">
        <v>0.49729094835751902</v>
      </c>
      <c r="I43" s="9">
        <v>0.96340881564942904</v>
      </c>
      <c r="J43" s="10">
        <v>0.66425426387975095</v>
      </c>
      <c r="K43" s="10">
        <v>0.64083557459551399</v>
      </c>
      <c r="L43" s="7">
        <v>0.26703340846704898</v>
      </c>
      <c r="M43" s="9">
        <v>0.99887302779864695</v>
      </c>
      <c r="N43" s="1">
        <v>0.42150965662401202</v>
      </c>
      <c r="O43" s="1">
        <v>0.37702632066276298</v>
      </c>
    </row>
    <row r="44" spans="1:26" ht="15" customHeight="1" x14ac:dyDescent="0.3">
      <c r="A44" s="22"/>
      <c r="B44" s="4">
        <f t="shared" si="1"/>
        <v>41</v>
      </c>
      <c r="C44" s="5" t="s">
        <v>48</v>
      </c>
      <c r="D44" s="10">
        <v>30647</v>
      </c>
      <c r="E44" s="10">
        <v>411375</v>
      </c>
      <c r="F44" s="10">
        <v>11272</v>
      </c>
      <c r="G44" s="10">
        <v>1319</v>
      </c>
      <c r="H44" s="7">
        <v>0.70879781673527897</v>
      </c>
      <c r="I44" s="9">
        <v>0.958737408496527</v>
      </c>
      <c r="J44" s="10">
        <v>0.82958651959125596</v>
      </c>
      <c r="K44" s="10">
        <v>0.81481087056790602</v>
      </c>
      <c r="L44" s="7">
        <v>0.369020630888233</v>
      </c>
      <c r="M44" s="9">
        <v>0.97884749040582597</v>
      </c>
      <c r="N44" s="1">
        <v>0.53910163596118899</v>
      </c>
      <c r="O44" s="1">
        <v>0.48225856925855598</v>
      </c>
    </row>
    <row r="45" spans="1:26" x14ac:dyDescent="0.3">
      <c r="H45">
        <f>AVERAGE(H22:H44)</f>
        <v>0.83928800225441658</v>
      </c>
      <c r="I45">
        <f>AVERAGE(I22:I44)</f>
        <v>0.9295196044627293</v>
      </c>
      <c r="L45">
        <f>AVERAGE(L22:L44)</f>
        <v>0.80533792036601881</v>
      </c>
      <c r="M45">
        <f>AVERAGE(M22:M44)</f>
        <v>0.98333230485628786</v>
      </c>
    </row>
    <row r="47" spans="1:26" x14ac:dyDescent="0.3">
      <c r="C47" t="s">
        <v>56</v>
      </c>
    </row>
  </sheetData>
  <mergeCells count="2">
    <mergeCell ref="A2:A19"/>
    <mergeCell ref="A22:A4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opLeftCell="A21" zoomScaleNormal="100" workbookViewId="0">
      <selection activeCell="H2" sqref="H2:I47"/>
    </sheetView>
  </sheetViews>
  <sheetFormatPr defaultRowHeight="15" x14ac:dyDescent="0.3"/>
  <cols>
    <col min="2" max="2" width="3.5" bestFit="1" customWidth="1"/>
    <col min="3" max="3" width="44.5" bestFit="1" customWidth="1"/>
  </cols>
  <sheetData>
    <row r="1" spans="1:15" x14ac:dyDescent="0.3">
      <c r="A1" s="2"/>
      <c r="B1" s="2"/>
      <c r="C1" s="2" t="s">
        <v>57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11" t="s">
        <v>4</v>
      </c>
      <c r="M1" s="11" t="s">
        <v>5</v>
      </c>
      <c r="N1" s="8" t="s">
        <v>4</v>
      </c>
      <c r="O1" s="8" t="s">
        <v>5</v>
      </c>
    </row>
    <row r="2" spans="1:15" x14ac:dyDescent="0.3">
      <c r="A2" s="19" t="s">
        <v>55</v>
      </c>
      <c r="B2" s="4">
        <v>1</v>
      </c>
      <c r="C2" s="1" t="s">
        <v>8</v>
      </c>
      <c r="D2" s="10">
        <v>17885</v>
      </c>
      <c r="E2" s="10">
        <v>539391</v>
      </c>
      <c r="F2" s="10">
        <v>89515</v>
      </c>
      <c r="G2" s="10">
        <v>304</v>
      </c>
      <c r="H2" s="7">
        <v>0.16605697095743799</v>
      </c>
      <c r="I2" s="9">
        <v>0.98328660179229199</v>
      </c>
      <c r="J2" s="10">
        <v>0.28481793787672399</v>
      </c>
      <c r="K2" s="10">
        <v>0.24869878599102699</v>
      </c>
      <c r="L2" s="7">
        <v>0.23403781360510101</v>
      </c>
      <c r="M2" s="9">
        <v>0.46209247347297799</v>
      </c>
      <c r="N2" s="7">
        <v>0.513852397574032</v>
      </c>
      <c r="O2" s="9">
        <v>0.76043475824976103</v>
      </c>
    </row>
    <row r="3" spans="1:15" x14ac:dyDescent="0.3">
      <c r="A3" s="20"/>
      <c r="B3" s="4">
        <f>1+B2</f>
        <v>2</v>
      </c>
      <c r="C3" s="1" t="s">
        <v>9</v>
      </c>
      <c r="D3" s="10">
        <v>217789</v>
      </c>
      <c r="E3" s="10">
        <v>447467</v>
      </c>
      <c r="F3" s="10">
        <v>21170</v>
      </c>
      <c r="G3" s="10">
        <v>10331</v>
      </c>
      <c r="H3" s="7">
        <v>0.87363712944763094</v>
      </c>
      <c r="I3" s="9">
        <v>0.95471243205330503</v>
      </c>
      <c r="J3" s="10">
        <v>0.93255744745535496</v>
      </c>
      <c r="K3" s="10">
        <v>0.89858259700122101</v>
      </c>
      <c r="L3" s="7">
        <v>0.86870253873246595</v>
      </c>
      <c r="M3" s="9">
        <v>0.935248991758723</v>
      </c>
      <c r="N3" s="7">
        <v>0.91444352367846804</v>
      </c>
      <c r="O3" s="9">
        <v>0.99361844496579899</v>
      </c>
    </row>
    <row r="4" spans="1:15" x14ac:dyDescent="0.3">
      <c r="A4" s="20"/>
      <c r="B4" s="4">
        <f t="shared" ref="B4:B19" si="0">1+B3</f>
        <v>3</v>
      </c>
      <c r="C4" s="1" t="s">
        <v>10</v>
      </c>
      <c r="D4" s="10"/>
      <c r="E4" s="10"/>
      <c r="F4" s="10"/>
      <c r="G4" s="10"/>
      <c r="H4" s="7"/>
      <c r="I4" s="9"/>
      <c r="J4" s="10"/>
      <c r="K4" s="10"/>
      <c r="L4" s="7"/>
      <c r="M4" s="9"/>
      <c r="N4" s="7">
        <v>0.89144223107569698</v>
      </c>
      <c r="O4" s="9">
        <v>0.97334261353749696</v>
      </c>
    </row>
    <row r="5" spans="1:15" x14ac:dyDescent="0.3">
      <c r="A5" s="20"/>
      <c r="B5" s="4">
        <f t="shared" si="0"/>
        <v>4</v>
      </c>
      <c r="C5" s="1" t="s">
        <v>11</v>
      </c>
      <c r="D5" s="10">
        <v>20738</v>
      </c>
      <c r="E5" s="10">
        <v>406743</v>
      </c>
      <c r="F5" s="10">
        <v>8758</v>
      </c>
      <c r="G5" s="10">
        <v>859</v>
      </c>
      <c r="H5" s="7">
        <v>0.68318234228298402</v>
      </c>
      <c r="I5" s="9">
        <v>0.96022595730888505</v>
      </c>
      <c r="J5" s="10">
        <v>0.81177460708903304</v>
      </c>
      <c r="K5" s="10">
        <v>0.80038692566535297</v>
      </c>
      <c r="L5" s="7">
        <v>0.40251197360837798</v>
      </c>
      <c r="M5" s="9">
        <v>0.93781543732925798</v>
      </c>
      <c r="N5" s="7">
        <v>0.366344327404593</v>
      </c>
      <c r="O5" s="9">
        <v>0.98835313300722105</v>
      </c>
    </row>
    <row r="6" spans="1:15" x14ac:dyDescent="0.3">
      <c r="A6" s="20"/>
      <c r="B6" s="4">
        <f t="shared" si="0"/>
        <v>5</v>
      </c>
      <c r="C6" s="1" t="s">
        <v>12</v>
      </c>
      <c r="D6" s="10">
        <v>123437</v>
      </c>
      <c r="E6" s="10">
        <v>365730</v>
      </c>
      <c r="F6" s="10">
        <v>15464</v>
      </c>
      <c r="G6" s="10">
        <v>9714</v>
      </c>
      <c r="H6" s="7">
        <v>0.83058237728358497</v>
      </c>
      <c r="I6" s="9">
        <v>0.92704523435798403</v>
      </c>
      <c r="J6" s="10">
        <v>0.907451516621822</v>
      </c>
      <c r="K6" s="10">
        <v>0.87419557259246405</v>
      </c>
      <c r="L6" s="7">
        <v>0.50416705157504504</v>
      </c>
      <c r="M6" s="9">
        <v>0.94273418900346195</v>
      </c>
      <c r="N6" s="7">
        <v>0.80498290249496895</v>
      </c>
      <c r="O6" s="9">
        <v>0.90636066197149601</v>
      </c>
    </row>
    <row r="7" spans="1:15" x14ac:dyDescent="0.3">
      <c r="A7" s="20"/>
      <c r="B7" s="4">
        <f t="shared" si="0"/>
        <v>6</v>
      </c>
      <c r="C7" s="1" t="s">
        <v>13</v>
      </c>
      <c r="D7" s="10">
        <v>119377</v>
      </c>
      <c r="E7" s="10">
        <v>477110</v>
      </c>
      <c r="F7" s="10">
        <v>23835</v>
      </c>
      <c r="G7" s="10">
        <v>46019</v>
      </c>
      <c r="H7" s="7">
        <v>0.63085329570736204</v>
      </c>
      <c r="I7" s="9">
        <v>0.721764734334566</v>
      </c>
      <c r="J7" s="10">
        <v>0.77364812318539999</v>
      </c>
      <c r="K7" s="10">
        <v>0.70589423380612504</v>
      </c>
      <c r="L7" s="7">
        <v>0.61149144782308196</v>
      </c>
      <c r="M7" s="9">
        <v>0.68476867638878802</v>
      </c>
      <c r="N7" s="7">
        <v>0.64069160673953096</v>
      </c>
      <c r="O7" s="9">
        <v>0.85109288675223904</v>
      </c>
    </row>
    <row r="8" spans="1:15" x14ac:dyDescent="0.3">
      <c r="A8" s="20"/>
      <c r="B8" s="4">
        <f t="shared" si="0"/>
        <v>7</v>
      </c>
      <c r="C8" s="1" t="s">
        <v>14</v>
      </c>
      <c r="D8" s="10">
        <v>157400</v>
      </c>
      <c r="E8" s="10">
        <v>544351</v>
      </c>
      <c r="F8" s="10">
        <v>1134</v>
      </c>
      <c r="G8" s="10">
        <v>6632</v>
      </c>
      <c r="H8" s="7">
        <v>0.95298063766150398</v>
      </c>
      <c r="I8" s="9">
        <v>0.95956886461178303</v>
      </c>
      <c r="J8" s="10">
        <v>0.97592430696353605</v>
      </c>
      <c r="K8" s="10">
        <v>0.96884422769142098</v>
      </c>
      <c r="L8" s="7">
        <v>0.93440596986683699</v>
      </c>
      <c r="M8" s="9">
        <v>0.96336690401872804</v>
      </c>
      <c r="N8" s="7">
        <v>0.948430250075323</v>
      </c>
      <c r="O8" s="9">
        <v>0.98107562270925197</v>
      </c>
    </row>
    <row r="9" spans="1:15" x14ac:dyDescent="0.3">
      <c r="A9" s="20"/>
      <c r="B9" s="4">
        <f t="shared" si="0"/>
        <v>8</v>
      </c>
      <c r="C9" s="1" t="s">
        <v>15</v>
      </c>
      <c r="D9" s="10">
        <v>198668</v>
      </c>
      <c r="E9" s="10">
        <v>501784</v>
      </c>
      <c r="F9" s="10">
        <v>365</v>
      </c>
      <c r="G9" s="10">
        <v>29412</v>
      </c>
      <c r="H9" s="7">
        <v>0.86965352710718102</v>
      </c>
      <c r="I9" s="9">
        <v>0.871045247281655</v>
      </c>
      <c r="J9" s="10">
        <v>0.93028308667729598</v>
      </c>
      <c r="K9" s="10">
        <v>0.90165496431667003</v>
      </c>
      <c r="L9" s="7">
        <v>0.87981372255423995</v>
      </c>
      <c r="M9" s="9">
        <v>0.88879779024903505</v>
      </c>
      <c r="N9" s="7">
        <v>0.90885986897067195</v>
      </c>
      <c r="O9" s="9">
        <v>0.953070822574695</v>
      </c>
    </row>
    <row r="10" spans="1:15" x14ac:dyDescent="0.3">
      <c r="A10" s="20"/>
      <c r="B10" s="4">
        <f t="shared" si="0"/>
        <v>9</v>
      </c>
      <c r="C10" s="1" t="s">
        <v>16</v>
      </c>
      <c r="D10" s="10">
        <v>178220</v>
      </c>
      <c r="E10" s="10">
        <v>267018</v>
      </c>
      <c r="F10" s="10">
        <v>2133</v>
      </c>
      <c r="G10" s="10">
        <v>136387</v>
      </c>
      <c r="H10" s="7">
        <v>0.56266969754372598</v>
      </c>
      <c r="I10" s="9">
        <v>0.56648453467341797</v>
      </c>
      <c r="J10" s="10">
        <v>0.72013900113140406</v>
      </c>
      <c r="K10" s="10">
        <v>0.53913201327188998</v>
      </c>
      <c r="L10" s="7">
        <v>0.59036484807409895</v>
      </c>
      <c r="M10" s="9">
        <v>0.59806043730749703</v>
      </c>
      <c r="N10" s="7">
        <v>0.48519383188833298</v>
      </c>
      <c r="O10" s="9">
        <v>0.49424080608589399</v>
      </c>
    </row>
    <row r="11" spans="1:15" x14ac:dyDescent="0.3">
      <c r="A11" s="20"/>
      <c r="B11" s="4">
        <f t="shared" si="0"/>
        <v>10</v>
      </c>
      <c r="C11" s="1" t="s">
        <v>17</v>
      </c>
      <c r="D11" s="10">
        <v>54842</v>
      </c>
      <c r="E11" s="10">
        <v>566086</v>
      </c>
      <c r="F11" s="10">
        <v>72435</v>
      </c>
      <c r="G11" s="10">
        <v>105</v>
      </c>
      <c r="H11" s="7">
        <v>0.43053178628063599</v>
      </c>
      <c r="I11" s="9">
        <v>0.998089067647005</v>
      </c>
      <c r="J11" s="10">
        <v>0.60191851786811801</v>
      </c>
      <c r="K11" s="10">
        <v>0.55237251087764505</v>
      </c>
      <c r="L11" s="7">
        <v>0.53557802588769499</v>
      </c>
      <c r="M11" s="9">
        <v>0.83285711685806296</v>
      </c>
      <c r="N11" s="7">
        <v>0.65656839509195997</v>
      </c>
      <c r="O11" s="9">
        <v>0.93030806215767403</v>
      </c>
    </row>
    <row r="12" spans="1:15" x14ac:dyDescent="0.3">
      <c r="A12" s="20"/>
      <c r="B12" s="4">
        <f t="shared" si="0"/>
        <v>11</v>
      </c>
      <c r="C12" s="1" t="s">
        <v>18</v>
      </c>
      <c r="D12" s="10">
        <v>20961</v>
      </c>
      <c r="E12" s="10">
        <v>360812</v>
      </c>
      <c r="F12" s="10">
        <v>15036</v>
      </c>
      <c r="G12" s="10">
        <v>2445</v>
      </c>
      <c r="H12" s="7">
        <v>0.54526299360074904</v>
      </c>
      <c r="I12" s="9">
        <v>0.89553960522942799</v>
      </c>
      <c r="J12" s="10">
        <v>0.70572193323569499</v>
      </c>
      <c r="K12" s="10">
        <v>0.68321421133518501</v>
      </c>
      <c r="L12" s="7">
        <v>0.44818101509797598</v>
      </c>
      <c r="M12" s="9">
        <v>0.95372981286849501</v>
      </c>
      <c r="N12" s="7">
        <v>0.43033146353900997</v>
      </c>
      <c r="O12" s="9">
        <v>0.96824085547753402</v>
      </c>
    </row>
    <row r="13" spans="1:15" x14ac:dyDescent="0.3">
      <c r="A13" s="20"/>
      <c r="B13" s="4">
        <f t="shared" si="0"/>
        <v>12</v>
      </c>
      <c r="C13" s="1" t="s">
        <v>19</v>
      </c>
      <c r="D13" s="10">
        <v>83248</v>
      </c>
      <c r="E13" s="10">
        <v>472798</v>
      </c>
      <c r="F13" s="10">
        <v>9090</v>
      </c>
      <c r="G13" s="10">
        <v>4467</v>
      </c>
      <c r="H13" s="7">
        <v>0.85995558080677603</v>
      </c>
      <c r="I13" s="9">
        <v>0.94907370461152596</v>
      </c>
      <c r="J13" s="10">
        <v>0.92470550337956003</v>
      </c>
      <c r="K13" s="10">
        <v>0.91058222357911001</v>
      </c>
      <c r="L13" s="7">
        <v>0.86644190323194303</v>
      </c>
      <c r="M13" s="9">
        <v>0.93462919683064405</v>
      </c>
      <c r="N13" s="7">
        <v>0.86143240931903897</v>
      </c>
      <c r="O13" s="9">
        <v>0.95347458599456902</v>
      </c>
    </row>
    <row r="14" spans="1:15" x14ac:dyDescent="0.3">
      <c r="A14" s="20"/>
      <c r="B14" s="4">
        <f t="shared" si="0"/>
        <v>13</v>
      </c>
      <c r="C14" s="1" t="s">
        <v>20</v>
      </c>
      <c r="D14" s="10">
        <v>176872</v>
      </c>
      <c r="E14" s="10">
        <v>501362</v>
      </c>
      <c r="F14" s="10">
        <v>3830</v>
      </c>
      <c r="G14" s="10">
        <v>23843</v>
      </c>
      <c r="H14" s="7">
        <v>0.86470947713217094</v>
      </c>
      <c r="I14" s="9">
        <v>0.88120967541040696</v>
      </c>
      <c r="J14" s="10">
        <v>0.92744686262017595</v>
      </c>
      <c r="K14" s="10">
        <v>0.90069142992132201</v>
      </c>
      <c r="L14" s="7">
        <v>0.78659608538311199</v>
      </c>
      <c r="M14" s="9">
        <v>0.80028896694317797</v>
      </c>
      <c r="N14" s="7">
        <v>0.91389588279020695</v>
      </c>
      <c r="O14" s="9">
        <v>0.94225178006329102</v>
      </c>
    </row>
    <row r="15" spans="1:15" x14ac:dyDescent="0.3">
      <c r="A15" s="20"/>
      <c r="B15" s="4">
        <f t="shared" si="0"/>
        <v>14</v>
      </c>
      <c r="C15" s="1" t="s">
        <v>21</v>
      </c>
      <c r="D15" s="10">
        <v>328826</v>
      </c>
      <c r="E15" s="10">
        <v>325145</v>
      </c>
      <c r="F15" s="10">
        <v>5887</v>
      </c>
      <c r="G15" s="10">
        <v>22755</v>
      </c>
      <c r="H15" s="7">
        <v>0.91987534548547001</v>
      </c>
      <c r="I15" s="9">
        <v>0.93527807247831896</v>
      </c>
      <c r="J15" s="10">
        <v>0.95826569953984697</v>
      </c>
      <c r="K15" s="10">
        <v>0.91613006811835396</v>
      </c>
      <c r="L15" s="7">
        <v>0.76768680232868602</v>
      </c>
      <c r="M15" s="9">
        <v>0.81764372932553198</v>
      </c>
      <c r="N15" s="7">
        <v>0.89318885448916396</v>
      </c>
      <c r="O15" s="9">
        <v>0.91063748419631596</v>
      </c>
    </row>
    <row r="16" spans="1:15" x14ac:dyDescent="0.3">
      <c r="A16" s="20"/>
      <c r="B16" s="4">
        <f t="shared" si="0"/>
        <v>15</v>
      </c>
      <c r="C16" s="1" t="s">
        <v>22</v>
      </c>
      <c r="D16" s="10">
        <v>107373</v>
      </c>
      <c r="E16" s="10">
        <v>553381</v>
      </c>
      <c r="F16" s="10">
        <v>14829</v>
      </c>
      <c r="G16" s="10">
        <v>2973</v>
      </c>
      <c r="H16" s="7">
        <v>0.85778310365488297</v>
      </c>
      <c r="I16" s="9">
        <v>0.97305747376434104</v>
      </c>
      <c r="J16" s="10">
        <v>0.92344806233551702</v>
      </c>
      <c r="K16" s="10">
        <v>0.90766755609615402</v>
      </c>
      <c r="L16" s="7">
        <v>0.73542832909245104</v>
      </c>
      <c r="M16" s="9">
        <v>0.78577383865296402</v>
      </c>
      <c r="N16" s="7">
        <v>0.85479072283453905</v>
      </c>
      <c r="O16" s="9">
        <v>0.97233332307786902</v>
      </c>
    </row>
    <row r="17" spans="1:15" x14ac:dyDescent="0.3">
      <c r="A17" s="20"/>
      <c r="B17" s="4">
        <f t="shared" si="0"/>
        <v>16</v>
      </c>
      <c r="C17" s="1" t="s">
        <v>23</v>
      </c>
      <c r="D17" s="10">
        <v>117798</v>
      </c>
      <c r="E17" s="10">
        <v>484357</v>
      </c>
      <c r="F17" s="10">
        <v>14496</v>
      </c>
      <c r="G17" s="10">
        <v>1382</v>
      </c>
      <c r="H17" s="7">
        <v>0.88122026392172104</v>
      </c>
      <c r="I17" s="9">
        <v>0.98840409464675205</v>
      </c>
      <c r="J17" s="10">
        <v>0.93686027183724696</v>
      </c>
      <c r="K17" s="10">
        <v>0.92078881342371699</v>
      </c>
      <c r="L17" s="7">
        <v>0.58240310505597104</v>
      </c>
      <c r="M17" s="9">
        <v>0.61944957207585105</v>
      </c>
      <c r="N17" s="7">
        <v>0.84194785895929303</v>
      </c>
      <c r="O17" s="9">
        <v>0.98806987332905205</v>
      </c>
    </row>
    <row r="18" spans="1:15" x14ac:dyDescent="0.3">
      <c r="A18" s="20"/>
      <c r="B18" s="4">
        <f t="shared" si="0"/>
        <v>17</v>
      </c>
      <c r="C18" s="1" t="s">
        <v>24</v>
      </c>
      <c r="D18" s="10">
        <v>154436</v>
      </c>
      <c r="E18" s="10">
        <v>386226</v>
      </c>
      <c r="F18" s="10">
        <v>3469</v>
      </c>
      <c r="G18" s="10">
        <v>12304</v>
      </c>
      <c r="H18" s="7">
        <v>0.90733157471109005</v>
      </c>
      <c r="I18" s="9">
        <v>0.92620846827395897</v>
      </c>
      <c r="J18" s="10">
        <v>0.95141462212570604</v>
      </c>
      <c r="K18" s="10">
        <v>0.93142475646944101</v>
      </c>
      <c r="L18" s="7">
        <v>0.75329734669979698</v>
      </c>
      <c r="M18" s="9">
        <v>0.79090800047978804</v>
      </c>
      <c r="N18" s="7">
        <v>0.82674757982950398</v>
      </c>
      <c r="O18" s="9">
        <v>0.85318764426259797</v>
      </c>
    </row>
    <row r="19" spans="1:15" x14ac:dyDescent="0.3">
      <c r="A19" s="20"/>
      <c r="B19" s="4">
        <f t="shared" si="0"/>
        <v>18</v>
      </c>
      <c r="C19" s="1" t="s">
        <v>25</v>
      </c>
      <c r="D19" s="10">
        <v>55270</v>
      </c>
      <c r="E19" s="10">
        <v>558851</v>
      </c>
      <c r="F19" s="10">
        <v>10228</v>
      </c>
      <c r="G19" s="10">
        <v>527</v>
      </c>
      <c r="H19" s="7">
        <v>0.83710715638015898</v>
      </c>
      <c r="I19" s="9">
        <v>0.99055504776242398</v>
      </c>
      <c r="J19" s="10">
        <v>0.91133187682921801</v>
      </c>
      <c r="K19" s="10">
        <v>0.90186863399822903</v>
      </c>
      <c r="L19" s="7">
        <v>0.55422677105366003</v>
      </c>
      <c r="M19" s="9">
        <v>0.99087764575156301</v>
      </c>
      <c r="N19" s="7">
        <v>0.73081361483256202</v>
      </c>
      <c r="O19" s="9">
        <v>0.94045766978757095</v>
      </c>
    </row>
    <row r="20" spans="1:15" x14ac:dyDescent="0.3">
      <c r="D20" s="10"/>
      <c r="E20" s="10"/>
      <c r="F20" s="10"/>
      <c r="G20" s="10"/>
      <c r="H20" s="10">
        <f>AVERAGE(H2:H19)</f>
        <v>0.7454937211744157</v>
      </c>
      <c r="I20" s="10">
        <f>AVERAGE(I2:I19)</f>
        <v>0.91067934213165003</v>
      </c>
      <c r="J20" s="10"/>
      <c r="K20" s="10"/>
      <c r="L20">
        <f>AVERAGE(L2:L19)</f>
        <v>0.65031380880414935</v>
      </c>
      <c r="M20">
        <f>AVERAGE(M2:M19)</f>
        <v>0.81994369290085589</v>
      </c>
      <c r="N20">
        <f>AVERAGE(N2:N19)</f>
        <v>0.74910876231038304</v>
      </c>
      <c r="O20">
        <f>AVERAGE(O2:O19)</f>
        <v>0.90891950156668477</v>
      </c>
    </row>
    <row r="21" spans="1:15" x14ac:dyDescent="0.3">
      <c r="D21" s="10"/>
      <c r="E21" s="10"/>
      <c r="F21" s="10"/>
      <c r="G21" s="10"/>
      <c r="H21" s="25" t="s">
        <v>63</v>
      </c>
      <c r="I21" s="25"/>
      <c r="J21" s="10"/>
      <c r="K21" s="10"/>
      <c r="L21" s="23" t="s">
        <v>59</v>
      </c>
      <c r="M21" s="23"/>
      <c r="N21" s="24" t="s">
        <v>61</v>
      </c>
      <c r="O21" s="24"/>
    </row>
    <row r="22" spans="1:15" x14ac:dyDescent="0.3">
      <c r="A22" s="22" t="s">
        <v>51</v>
      </c>
      <c r="B22" s="2">
        <f>1+B19</f>
        <v>19</v>
      </c>
      <c r="C22" s="1" t="s">
        <v>26</v>
      </c>
      <c r="D22" s="10">
        <v>66226</v>
      </c>
      <c r="E22" s="10">
        <v>360853</v>
      </c>
      <c r="F22" s="10">
        <v>2162</v>
      </c>
      <c r="G22" s="10">
        <v>4987</v>
      </c>
      <c r="H22" s="7">
        <v>0.90256899488926701</v>
      </c>
      <c r="I22" s="9">
        <v>0.92997065142600299</v>
      </c>
      <c r="J22" s="10">
        <v>0.94878976511629498</v>
      </c>
      <c r="K22" s="10">
        <v>0.93898601541345295</v>
      </c>
      <c r="L22" s="7">
        <v>0.93888115479746403</v>
      </c>
      <c r="M22" s="9">
        <v>0.97545391993034902</v>
      </c>
      <c r="N22" s="7">
        <v>0.93930859422216795</v>
      </c>
      <c r="O22" s="9">
        <v>0.99298474277390103</v>
      </c>
    </row>
    <row r="23" spans="1:15" x14ac:dyDescent="0.3">
      <c r="A23" s="22"/>
      <c r="B23" s="2">
        <f t="shared" ref="B23:B44" si="1">1+B22</f>
        <v>20</v>
      </c>
      <c r="C23" s="1" t="s">
        <v>27</v>
      </c>
      <c r="D23" s="10">
        <v>154362</v>
      </c>
      <c r="E23" s="10">
        <v>456326</v>
      </c>
      <c r="F23" s="10">
        <v>2917</v>
      </c>
      <c r="G23" s="10">
        <v>16847</v>
      </c>
      <c r="H23" s="7">
        <v>0.88649598566555199</v>
      </c>
      <c r="I23" s="9">
        <v>0.90159979907598298</v>
      </c>
      <c r="J23" s="10">
        <v>0.93983341857236702</v>
      </c>
      <c r="K23" s="10">
        <v>0.91868838514644002</v>
      </c>
      <c r="L23" s="7">
        <v>0.837783673784807</v>
      </c>
      <c r="M23" s="9">
        <v>0.94982156311876098</v>
      </c>
      <c r="N23" s="7">
        <v>0.898899184114059</v>
      </c>
      <c r="O23" s="9">
        <v>0.997974243078663</v>
      </c>
    </row>
    <row r="24" spans="1:15" x14ac:dyDescent="0.3">
      <c r="A24" s="22"/>
      <c r="B24" s="2">
        <f t="shared" si="1"/>
        <v>21</v>
      </c>
      <c r="C24" s="1" t="s">
        <v>28</v>
      </c>
      <c r="D24" s="10">
        <v>152010</v>
      </c>
      <c r="E24" s="10">
        <v>384390</v>
      </c>
      <c r="F24" s="10">
        <v>1563</v>
      </c>
      <c r="G24" s="10">
        <v>412</v>
      </c>
      <c r="H24" s="7">
        <v>0.98717407539695401</v>
      </c>
      <c r="I24" s="9">
        <v>0.99729697812651696</v>
      </c>
      <c r="J24" s="10">
        <v>0.99354564617068897</v>
      </c>
      <c r="K24" s="10">
        <v>0.99098327425975197</v>
      </c>
      <c r="L24" s="7">
        <v>0.96913092262967304</v>
      </c>
      <c r="M24" s="9">
        <v>0.99732322105732696</v>
      </c>
      <c r="N24" s="7">
        <v>0.96888243357100601</v>
      </c>
      <c r="O24" s="9">
        <v>0.999850761763866</v>
      </c>
    </row>
    <row r="25" spans="1:15" x14ac:dyDescent="0.3">
      <c r="A25" s="22"/>
      <c r="B25" s="2">
        <f t="shared" si="1"/>
        <v>22</v>
      </c>
      <c r="C25" s="1" t="s">
        <v>29</v>
      </c>
      <c r="D25" s="10">
        <v>188540</v>
      </c>
      <c r="E25" s="10">
        <v>627381</v>
      </c>
      <c r="F25" s="10">
        <v>4153</v>
      </c>
      <c r="G25" s="10">
        <v>8506</v>
      </c>
      <c r="H25" s="7">
        <v>0.93708219225741596</v>
      </c>
      <c r="I25" s="9">
        <v>0.95683241476609504</v>
      </c>
      <c r="J25" s="10">
        <v>0.96751928854951597</v>
      </c>
      <c r="K25" s="10">
        <v>0.95753291834963805</v>
      </c>
      <c r="L25" s="7">
        <v>0.90552790437355002</v>
      </c>
      <c r="M25" s="9">
        <v>0.91961775422997605</v>
      </c>
      <c r="N25" s="7">
        <v>0.90037102941733205</v>
      </c>
      <c r="O25" s="9">
        <v>0.995593791537149</v>
      </c>
    </row>
    <row r="26" spans="1:15" x14ac:dyDescent="0.3">
      <c r="A26" s="22"/>
      <c r="B26" s="2">
        <f t="shared" si="1"/>
        <v>23</v>
      </c>
      <c r="C26" s="1" t="s">
        <v>30</v>
      </c>
      <c r="D26" s="10">
        <v>207620</v>
      </c>
      <c r="E26" s="10">
        <v>489580</v>
      </c>
      <c r="F26" s="10">
        <v>8604</v>
      </c>
      <c r="G26" s="10">
        <v>2394</v>
      </c>
      <c r="H26" s="7">
        <v>0.94969307193369201</v>
      </c>
      <c r="I26" s="9">
        <v>0.98860075994933605</v>
      </c>
      <c r="J26" s="10">
        <v>0.97419751406491195</v>
      </c>
      <c r="K26" s="10">
        <v>0.96309356815749703</v>
      </c>
      <c r="L26" s="7">
        <v>0.95556291573514396</v>
      </c>
      <c r="M26" s="9">
        <v>0.989105488205548</v>
      </c>
      <c r="N26" s="7">
        <v>0.92685664642433196</v>
      </c>
      <c r="O26" s="9">
        <v>0.97968433206956995</v>
      </c>
    </row>
    <row r="27" spans="1:15" x14ac:dyDescent="0.3">
      <c r="A27" s="22"/>
      <c r="B27" s="2">
        <f t="shared" si="1"/>
        <v>24</v>
      </c>
      <c r="C27" s="1" t="s">
        <v>31</v>
      </c>
      <c r="D27" s="10">
        <v>175938</v>
      </c>
      <c r="E27" s="10">
        <v>291349</v>
      </c>
      <c r="F27" s="10">
        <v>21402</v>
      </c>
      <c r="G27" s="10">
        <v>808</v>
      </c>
      <c r="H27" s="7">
        <v>0.887912065728647</v>
      </c>
      <c r="I27" s="9">
        <v>0.99542846797098605</v>
      </c>
      <c r="J27" s="10">
        <v>0.94062862550322601</v>
      </c>
      <c r="K27" s="10">
        <v>0.904092051015565</v>
      </c>
      <c r="L27" s="7">
        <v>0.787991286194063</v>
      </c>
      <c r="M27" s="9">
        <v>0.98234754959093795</v>
      </c>
      <c r="N27" s="7">
        <v>0.68930156808486098</v>
      </c>
      <c r="O27" s="9">
        <v>0.99293084476923998</v>
      </c>
    </row>
    <row r="28" spans="1:15" x14ac:dyDescent="0.3">
      <c r="A28" s="22"/>
      <c r="B28" s="2">
        <f t="shared" si="1"/>
        <v>25</v>
      </c>
      <c r="C28" s="1" t="s">
        <v>32</v>
      </c>
      <c r="D28" s="10">
        <v>28507</v>
      </c>
      <c r="E28" s="10">
        <v>415047</v>
      </c>
      <c r="F28" s="10">
        <v>1273</v>
      </c>
      <c r="G28" s="10">
        <v>215658</v>
      </c>
      <c r="H28" s="7">
        <v>0.116147458828706</v>
      </c>
      <c r="I28" s="9">
        <v>0.116753015378944</v>
      </c>
      <c r="J28" s="10">
        <v>0.20812206829838101</v>
      </c>
      <c r="K28" s="10">
        <v>0.13891372924925499</v>
      </c>
      <c r="L28" s="7">
        <v>0.98288141845466503</v>
      </c>
      <c r="M28" s="9">
        <v>0.993049781909774</v>
      </c>
      <c r="N28" s="7">
        <v>0.85438514662293297</v>
      </c>
      <c r="O28" s="9">
        <v>0.93480560208411301</v>
      </c>
    </row>
    <row r="29" spans="1:15" x14ac:dyDescent="0.3">
      <c r="A29" s="22"/>
      <c r="B29" s="4">
        <f t="shared" si="1"/>
        <v>26</v>
      </c>
      <c r="C29" s="5" t="s">
        <v>33</v>
      </c>
      <c r="D29" s="10">
        <v>3839</v>
      </c>
      <c r="E29" s="10">
        <v>386061</v>
      </c>
      <c r="F29" s="10">
        <v>3076</v>
      </c>
      <c r="G29" s="10">
        <v>144887</v>
      </c>
      <c r="H29" s="7">
        <v>2.52895218771821E-2</v>
      </c>
      <c r="I29" s="9">
        <v>2.5812568078210901E-2</v>
      </c>
      <c r="J29" s="10">
        <v>4.9331474354443801E-2</v>
      </c>
      <c r="K29" s="10">
        <v>2.5384722703590198E-2</v>
      </c>
      <c r="L29" s="7">
        <v>0.96120223622794698</v>
      </c>
      <c r="M29" s="9">
        <v>0.98031951373667003</v>
      </c>
      <c r="N29" s="7">
        <v>0.82170885648088399</v>
      </c>
      <c r="O29" s="9">
        <v>0.91199661682854904</v>
      </c>
    </row>
    <row r="30" spans="1:15" x14ac:dyDescent="0.3">
      <c r="A30" s="22"/>
      <c r="B30" s="4">
        <f t="shared" si="1"/>
        <v>27</v>
      </c>
      <c r="C30" s="5" t="s">
        <v>34</v>
      </c>
      <c r="D30" s="10">
        <v>58673</v>
      </c>
      <c r="E30" s="10">
        <v>551426</v>
      </c>
      <c r="F30" s="10">
        <v>6524</v>
      </c>
      <c r="G30" s="10">
        <v>41477</v>
      </c>
      <c r="H30" s="7">
        <v>0.55002156101767996</v>
      </c>
      <c r="I30" s="9">
        <v>0.58585122316525196</v>
      </c>
      <c r="J30" s="10">
        <v>0.70969536792321597</v>
      </c>
      <c r="K30" s="10">
        <v>0.67010432179983703</v>
      </c>
      <c r="L30" s="7">
        <v>0.97633567480764105</v>
      </c>
      <c r="M30" s="9">
        <v>0.98952571143284995</v>
      </c>
      <c r="N30" s="7">
        <v>0.56321774406814895</v>
      </c>
      <c r="O30" s="9">
        <v>0.99926127798907805</v>
      </c>
    </row>
    <row r="31" spans="1:15" x14ac:dyDescent="0.3">
      <c r="A31" s="22"/>
      <c r="B31" s="4">
        <f t="shared" si="1"/>
        <v>28</v>
      </c>
      <c r="C31" s="5" t="s">
        <v>35</v>
      </c>
      <c r="D31" s="10">
        <v>177430</v>
      </c>
      <c r="E31" s="10">
        <v>250806</v>
      </c>
      <c r="F31" s="10">
        <v>795</v>
      </c>
      <c r="G31" s="10">
        <v>28669</v>
      </c>
      <c r="H31" s="7">
        <v>0.85758891026322603</v>
      </c>
      <c r="I31" s="9">
        <v>0.86089694758344204</v>
      </c>
      <c r="J31" s="10">
        <v>0.92333551898918598</v>
      </c>
      <c r="K31" s="10">
        <v>0.868356821849529</v>
      </c>
      <c r="L31" s="7">
        <v>0.75669039782311298</v>
      </c>
      <c r="M31" s="9">
        <v>0.75963493272650495</v>
      </c>
      <c r="N31" s="7">
        <v>0.97574620599651596</v>
      </c>
      <c r="O31" s="9">
        <v>0.99406589109394805</v>
      </c>
    </row>
    <row r="32" spans="1:15" x14ac:dyDescent="0.3">
      <c r="A32" s="22"/>
      <c r="B32" s="4">
        <f t="shared" si="1"/>
        <v>29</v>
      </c>
      <c r="C32" s="5" t="s">
        <v>36</v>
      </c>
      <c r="D32" s="10">
        <v>26051</v>
      </c>
      <c r="E32" s="10">
        <v>587914</v>
      </c>
      <c r="F32" s="10">
        <v>562</v>
      </c>
      <c r="G32" s="10">
        <v>3325</v>
      </c>
      <c r="H32" s="7">
        <v>0.87016500768254301</v>
      </c>
      <c r="I32" s="9">
        <v>0.88681236383442197</v>
      </c>
      <c r="J32" s="10">
        <v>0.93057564878815402</v>
      </c>
      <c r="K32" s="10">
        <v>0.92728918909956803</v>
      </c>
      <c r="L32" s="7">
        <v>0.93032641332773702</v>
      </c>
      <c r="M32" s="9">
        <v>0.98090277777777701</v>
      </c>
      <c r="N32" s="7">
        <v>0.93631503698638596</v>
      </c>
      <c r="O32" s="9">
        <v>0.96421598438050105</v>
      </c>
    </row>
    <row r="33" spans="1:15" x14ac:dyDescent="0.3">
      <c r="A33" s="22"/>
      <c r="B33" s="4">
        <f t="shared" si="1"/>
        <v>30</v>
      </c>
      <c r="C33" s="5" t="s">
        <v>37</v>
      </c>
      <c r="D33" s="10">
        <v>191417</v>
      </c>
      <c r="E33" s="10">
        <v>278575</v>
      </c>
      <c r="F33" s="10">
        <v>2067</v>
      </c>
      <c r="G33" s="10">
        <v>12702</v>
      </c>
      <c r="H33" s="7">
        <v>0.92837050042194902</v>
      </c>
      <c r="I33" s="9">
        <v>0.93777159402113397</v>
      </c>
      <c r="J33" s="10">
        <v>0.96285490803640805</v>
      </c>
      <c r="K33" s="10">
        <v>0.93706262510110705</v>
      </c>
      <c r="L33" s="7">
        <v>0.91504816193467498</v>
      </c>
      <c r="M33" s="9">
        <v>0.94057388092240302</v>
      </c>
      <c r="N33" s="7">
        <v>0.90985603336621901</v>
      </c>
      <c r="O33" s="9">
        <v>0.99515183749450198</v>
      </c>
    </row>
    <row r="34" spans="1:15" x14ac:dyDescent="0.3">
      <c r="A34" s="22"/>
      <c r="B34" s="4">
        <f t="shared" si="1"/>
        <v>31</v>
      </c>
      <c r="C34" s="5" t="s">
        <v>38</v>
      </c>
      <c r="D34" s="10">
        <v>27882</v>
      </c>
      <c r="E34" s="10">
        <v>246726</v>
      </c>
      <c r="F34" s="10">
        <v>8693</v>
      </c>
      <c r="G34" s="10">
        <v>118</v>
      </c>
      <c r="H34" s="7">
        <v>0.759872455236693</v>
      </c>
      <c r="I34" s="9">
        <v>0.99578571428571405</v>
      </c>
      <c r="J34" s="10">
        <v>0.86355400696864104</v>
      </c>
      <c r="K34" s="10">
        <v>0.84635972424275296</v>
      </c>
      <c r="L34" s="7">
        <v>0.82018103395905395</v>
      </c>
      <c r="M34" s="9">
        <v>0.96435714285714202</v>
      </c>
      <c r="N34" s="7">
        <v>0.73644412538884896</v>
      </c>
      <c r="O34" s="9">
        <v>0.98486351563249996</v>
      </c>
    </row>
    <row r="35" spans="1:15" x14ac:dyDescent="0.3">
      <c r="A35" s="22"/>
      <c r="B35" s="4">
        <f t="shared" si="1"/>
        <v>32</v>
      </c>
      <c r="C35" s="5" t="s">
        <v>39</v>
      </c>
      <c r="D35" s="10">
        <v>112970</v>
      </c>
      <c r="E35" s="10">
        <v>657250</v>
      </c>
      <c r="F35" s="10">
        <v>2907</v>
      </c>
      <c r="G35" s="10">
        <v>1281</v>
      </c>
      <c r="H35" s="7">
        <v>0.96425340138957605</v>
      </c>
      <c r="I35" s="9">
        <v>0.98878784430770805</v>
      </c>
      <c r="J35" s="10">
        <v>0.98180143224640204</v>
      </c>
      <c r="K35" s="10">
        <v>0.978625734555163</v>
      </c>
      <c r="L35" s="7">
        <v>0.78944755591914295</v>
      </c>
      <c r="M35" s="9">
        <v>0.98822767415602397</v>
      </c>
      <c r="N35" s="7">
        <v>0.76194783256407805</v>
      </c>
      <c r="O35" s="9">
        <v>0.99817038108348199</v>
      </c>
    </row>
    <row r="36" spans="1:15" x14ac:dyDescent="0.3">
      <c r="A36" s="22"/>
      <c r="B36" s="4">
        <f t="shared" si="1"/>
        <v>33</v>
      </c>
      <c r="C36" s="5" t="s">
        <v>40</v>
      </c>
      <c r="D36" s="10">
        <v>104957</v>
      </c>
      <c r="E36" s="10">
        <v>335063</v>
      </c>
      <c r="F36" s="10">
        <v>1229</v>
      </c>
      <c r="G36" s="10">
        <v>2231</v>
      </c>
      <c r="H36" s="7">
        <v>0.96808618574577698</v>
      </c>
      <c r="I36" s="9">
        <v>0.97918610292196795</v>
      </c>
      <c r="J36" s="10">
        <v>0.98378434110997504</v>
      </c>
      <c r="K36" s="10">
        <v>0.97864780393435302</v>
      </c>
      <c r="L36" s="7">
        <v>0.927373517647884</v>
      </c>
      <c r="M36" s="9">
        <v>0.98637907228421096</v>
      </c>
      <c r="N36" s="7">
        <v>0.94497422336191395</v>
      </c>
      <c r="O36" s="9">
        <v>0.99886119790686201</v>
      </c>
    </row>
    <row r="37" spans="1:15" x14ac:dyDescent="0.3">
      <c r="A37" s="22"/>
      <c r="B37" s="4">
        <f t="shared" si="1"/>
        <v>34</v>
      </c>
      <c r="C37" s="5" t="s">
        <v>41</v>
      </c>
      <c r="D37" s="10">
        <v>50895</v>
      </c>
      <c r="E37" s="10">
        <v>168522</v>
      </c>
      <c r="F37" s="10">
        <v>54731</v>
      </c>
      <c r="G37" s="10">
        <v>84785</v>
      </c>
      <c r="H37" s="7">
        <v>0.26729023008124497</v>
      </c>
      <c r="I37" s="9">
        <v>0.375110554245283</v>
      </c>
      <c r="J37" s="10">
        <v>0.42182954423014701</v>
      </c>
      <c r="K37" s="10">
        <v>0.13586051170567001</v>
      </c>
      <c r="L37" s="7">
        <v>0.26098899642052198</v>
      </c>
      <c r="M37" s="9">
        <v>0.362735849056603</v>
      </c>
      <c r="N37" s="7">
        <v>0.94554986937694596</v>
      </c>
      <c r="O37" s="9">
        <v>0.99507574687644096</v>
      </c>
    </row>
    <row r="38" spans="1:15" x14ac:dyDescent="0.3">
      <c r="A38" s="22"/>
      <c r="B38" s="4">
        <f t="shared" si="1"/>
        <v>35</v>
      </c>
      <c r="C38" s="5" t="s">
        <v>42</v>
      </c>
      <c r="H38" s="7"/>
      <c r="I38" s="9"/>
      <c r="L38" s="7"/>
      <c r="M38" s="9"/>
      <c r="N38" s="7"/>
      <c r="O38" s="9"/>
    </row>
    <row r="39" spans="1:15" x14ac:dyDescent="0.3">
      <c r="A39" s="22"/>
      <c r="B39" s="4">
        <f t="shared" si="1"/>
        <v>36</v>
      </c>
      <c r="C39" s="5" t="s">
        <v>43</v>
      </c>
      <c r="D39" s="10">
        <v>28314</v>
      </c>
      <c r="E39" s="10">
        <v>595963</v>
      </c>
      <c r="F39" s="10">
        <v>2003</v>
      </c>
      <c r="G39" s="10">
        <v>49</v>
      </c>
      <c r="H39" s="7">
        <v>0.93242442205097797</v>
      </c>
      <c r="I39" s="9">
        <v>0.99827239713711502</v>
      </c>
      <c r="J39" s="10">
        <v>0.96503067484662497</v>
      </c>
      <c r="K39" s="10">
        <v>0.96331404944399301</v>
      </c>
      <c r="L39" s="7">
        <v>0.88419238602537897</v>
      </c>
      <c r="M39" s="9">
        <v>0.99492296301519501</v>
      </c>
      <c r="N39" s="7">
        <v>0.76681504804299405</v>
      </c>
      <c r="O39" s="9">
        <v>0.92830151480300904</v>
      </c>
    </row>
    <row r="40" spans="1:15" x14ac:dyDescent="0.3">
      <c r="A40" s="22"/>
      <c r="B40" s="4">
        <f t="shared" si="1"/>
        <v>37</v>
      </c>
      <c r="C40" s="5" t="s">
        <v>44</v>
      </c>
      <c r="D40" s="10">
        <v>64579</v>
      </c>
      <c r="E40" s="10">
        <v>367367</v>
      </c>
      <c r="F40" s="10">
        <v>2978</v>
      </c>
      <c r="G40" s="10">
        <v>4926</v>
      </c>
      <c r="H40" s="7">
        <v>0.89095374087717105</v>
      </c>
      <c r="I40" s="9">
        <v>0.929127400906409</v>
      </c>
      <c r="J40" s="10">
        <v>0.94233266696823303</v>
      </c>
      <c r="K40" s="10">
        <v>0.93169207380705599</v>
      </c>
      <c r="L40" s="7">
        <v>0.89099114018381997</v>
      </c>
      <c r="M40" s="9">
        <v>0.92889720164016898</v>
      </c>
      <c r="N40" s="7">
        <v>0.79859756486262501</v>
      </c>
      <c r="O40" s="9">
        <v>0.99724570537007795</v>
      </c>
    </row>
    <row r="41" spans="1:15" x14ac:dyDescent="0.3">
      <c r="A41" s="22"/>
      <c r="B41" s="4">
        <f t="shared" si="1"/>
        <v>38</v>
      </c>
      <c r="C41" s="5" t="s">
        <v>45</v>
      </c>
      <c r="D41" s="10">
        <v>70753</v>
      </c>
      <c r="E41" s="10">
        <v>376589</v>
      </c>
      <c r="F41" s="10">
        <v>973</v>
      </c>
      <c r="G41" s="10">
        <v>409</v>
      </c>
      <c r="H41" s="7">
        <v>0.98084147778470898</v>
      </c>
      <c r="I41" s="9">
        <v>0.99425255051853501</v>
      </c>
      <c r="J41" s="10">
        <v>0.99032808913274695</v>
      </c>
      <c r="K41" s="10">
        <v>0.988496592113006</v>
      </c>
      <c r="L41" s="7">
        <v>0.97884498312026103</v>
      </c>
      <c r="M41" s="9">
        <v>0.99416823585621505</v>
      </c>
      <c r="N41" s="7">
        <v>0.93325351691110403</v>
      </c>
      <c r="O41" s="9">
        <v>0.998051604642747</v>
      </c>
    </row>
    <row r="42" spans="1:15" x14ac:dyDescent="0.3">
      <c r="A42" s="22"/>
      <c r="B42" s="4">
        <f t="shared" si="1"/>
        <v>39</v>
      </c>
      <c r="C42" s="5" t="s">
        <v>46</v>
      </c>
      <c r="D42" s="10">
        <v>27509</v>
      </c>
      <c r="E42" s="10">
        <v>453167</v>
      </c>
      <c r="F42" s="10">
        <v>8874</v>
      </c>
      <c r="G42" s="10">
        <v>283</v>
      </c>
      <c r="H42" s="7">
        <v>0.75025909561991999</v>
      </c>
      <c r="I42" s="9">
        <v>0.98981721358664299</v>
      </c>
      <c r="J42" s="10">
        <v>0.85731203739773998</v>
      </c>
      <c r="K42" s="10">
        <v>0.84750132713694504</v>
      </c>
      <c r="L42" s="7">
        <v>0.78886551113782799</v>
      </c>
      <c r="M42" s="9">
        <v>0.849920840529648</v>
      </c>
      <c r="N42" s="7">
        <v>0.80894954883377701</v>
      </c>
      <c r="O42" s="9">
        <v>0.99650459645566003</v>
      </c>
    </row>
    <row r="43" spans="1:15" x14ac:dyDescent="0.3">
      <c r="A43" s="22"/>
      <c r="B43" s="4">
        <f t="shared" si="1"/>
        <v>40</v>
      </c>
      <c r="C43" s="5" t="s">
        <v>47</v>
      </c>
      <c r="D43" s="10">
        <v>26597</v>
      </c>
      <c r="E43" s="10">
        <v>508953</v>
      </c>
      <c r="F43" s="10">
        <v>11436</v>
      </c>
      <c r="G43" s="10">
        <v>650</v>
      </c>
      <c r="H43" s="7">
        <v>0.687563012175891</v>
      </c>
      <c r="I43" s="9">
        <v>0.97614416266010895</v>
      </c>
      <c r="J43" s="10">
        <v>0.81485906862744995</v>
      </c>
      <c r="K43" s="10">
        <v>0.80346504991964296</v>
      </c>
      <c r="L43" s="7">
        <v>0.49729094835751902</v>
      </c>
      <c r="M43" s="9">
        <v>0.96340881564942904</v>
      </c>
      <c r="N43" s="7">
        <v>0.26703340846704898</v>
      </c>
      <c r="O43" s="9">
        <v>0.99887302779864695</v>
      </c>
    </row>
    <row r="44" spans="1:15" x14ac:dyDescent="0.3">
      <c r="A44" s="22"/>
      <c r="B44" s="4">
        <f t="shared" si="1"/>
        <v>41</v>
      </c>
      <c r="C44" s="5" t="s">
        <v>48</v>
      </c>
      <c r="D44" s="10">
        <v>31825</v>
      </c>
      <c r="E44" s="10">
        <v>397961</v>
      </c>
      <c r="F44" s="10">
        <v>24686</v>
      </c>
      <c r="G44" s="10">
        <v>141</v>
      </c>
      <c r="H44" s="7">
        <v>0.56176304455270698</v>
      </c>
      <c r="I44" s="9">
        <v>0.99558906337984099</v>
      </c>
      <c r="J44" s="10">
        <v>0.71939600122065595</v>
      </c>
      <c r="K44" s="10">
        <v>0.69170451896036</v>
      </c>
      <c r="L44" s="7">
        <v>0.70879781673527897</v>
      </c>
      <c r="M44" s="9">
        <v>0.958737408496527</v>
      </c>
      <c r="N44" s="7">
        <v>0.369020630888233</v>
      </c>
      <c r="O44" s="9">
        <v>0.97884749040582597</v>
      </c>
    </row>
    <row r="45" spans="1:15" x14ac:dyDescent="0.3">
      <c r="H45">
        <f>AVERAGE(H22:H44)</f>
        <v>0.7573552914307945</v>
      </c>
      <c r="I45">
        <f>AVERAGE(I22:I44)</f>
        <v>0.83662271760571161</v>
      </c>
      <c r="L45">
        <f>AVERAGE(L22:L44)</f>
        <v>0.83928800225441658</v>
      </c>
      <c r="M45">
        <f>AVERAGE(M22:M44)</f>
        <v>0.9295196044627293</v>
      </c>
      <c r="N45">
        <f>AVERAGE(N22:N44)</f>
        <v>0.80533792036601881</v>
      </c>
      <c r="O45">
        <f>AVERAGE(O22:O44)</f>
        <v>0.98333230485628786</v>
      </c>
    </row>
    <row r="47" spans="1:15" x14ac:dyDescent="0.3">
      <c r="H47" s="25" t="s">
        <v>63</v>
      </c>
      <c r="I47" s="25"/>
      <c r="L47" s="23" t="s">
        <v>59</v>
      </c>
      <c r="M47" s="23"/>
      <c r="N47" s="24" t="s">
        <v>61</v>
      </c>
      <c r="O47" s="24"/>
    </row>
  </sheetData>
  <mergeCells count="8">
    <mergeCell ref="A2:A19"/>
    <mergeCell ref="A22:A44"/>
    <mergeCell ref="L47:M47"/>
    <mergeCell ref="N47:O47"/>
    <mergeCell ref="L21:M21"/>
    <mergeCell ref="N21:O21"/>
    <mergeCell ref="H21:I21"/>
    <mergeCell ref="H47:I4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opLeftCell="M19" zoomScale="145" zoomScaleNormal="145" workbookViewId="0">
      <selection activeCell="V8" sqref="V8"/>
    </sheetView>
  </sheetViews>
  <sheetFormatPr defaultRowHeight="15" x14ac:dyDescent="0.3"/>
  <sheetData>
    <row r="1" spans="1:28" x14ac:dyDescent="0.3">
      <c r="C1" s="25" t="s">
        <v>63</v>
      </c>
      <c r="D1" s="25"/>
      <c r="E1" s="23" t="s">
        <v>59</v>
      </c>
      <c r="F1" s="23"/>
      <c r="G1" s="24" t="s">
        <v>61</v>
      </c>
      <c r="H1" s="24"/>
      <c r="J1" s="25" t="s">
        <v>63</v>
      </c>
      <c r="K1" s="25"/>
      <c r="L1" s="23" t="s">
        <v>59</v>
      </c>
      <c r="M1" s="23"/>
      <c r="N1" s="24" t="s">
        <v>61</v>
      </c>
      <c r="O1" s="24"/>
    </row>
    <row r="2" spans="1:28" ht="19.8" x14ac:dyDescent="0.3">
      <c r="C2" s="31" t="s">
        <v>4</v>
      </c>
      <c r="D2" s="32"/>
      <c r="E2" s="32"/>
      <c r="F2" s="32"/>
      <c r="G2" s="32"/>
      <c r="H2" s="32"/>
      <c r="J2" s="31" t="s">
        <v>65</v>
      </c>
      <c r="K2" s="32"/>
      <c r="L2" s="32"/>
      <c r="M2" s="32"/>
      <c r="N2" s="32"/>
      <c r="O2" s="32"/>
    </row>
    <row r="3" spans="1:28" ht="15" customHeight="1" x14ac:dyDescent="0.3">
      <c r="A3" s="35" t="s">
        <v>64</v>
      </c>
      <c r="B3" s="4">
        <v>1</v>
      </c>
      <c r="C3" s="26">
        <v>0.16605697095743799</v>
      </c>
      <c r="D3" s="26"/>
      <c r="E3" s="26">
        <v>0.23403781360510101</v>
      </c>
      <c r="F3" s="26"/>
      <c r="G3" s="26">
        <v>0.513852397574032</v>
      </c>
      <c r="H3" s="26"/>
      <c r="J3" s="29">
        <v>0.98328660179229199</v>
      </c>
      <c r="K3" s="30"/>
      <c r="L3" s="29">
        <v>0.46209247347297799</v>
      </c>
      <c r="M3" s="30"/>
      <c r="N3" s="29">
        <v>0.76043475824976103</v>
      </c>
      <c r="O3" s="30"/>
    </row>
    <row r="4" spans="1:28" x14ac:dyDescent="0.3">
      <c r="A4" s="35"/>
      <c r="B4" s="4">
        <f>1+B3</f>
        <v>2</v>
      </c>
      <c r="C4" s="26">
        <v>0.87363712944763094</v>
      </c>
      <c r="D4" s="26"/>
      <c r="E4" s="26">
        <v>0.86870253873246595</v>
      </c>
      <c r="F4" s="26"/>
      <c r="G4" s="26">
        <v>0.91444352367846804</v>
      </c>
      <c r="H4" s="26"/>
      <c r="J4" s="29">
        <v>0.95471243205330503</v>
      </c>
      <c r="K4" s="30"/>
      <c r="L4" s="29">
        <v>0.935248991758723</v>
      </c>
      <c r="M4" s="30"/>
      <c r="N4" s="29">
        <v>0.99361844496579899</v>
      </c>
      <c r="O4" s="30"/>
    </row>
    <row r="5" spans="1:28" x14ac:dyDescent="0.3">
      <c r="A5" s="35"/>
      <c r="B5" s="4">
        <v>2</v>
      </c>
      <c r="C5" s="26">
        <v>0.68318234228298402</v>
      </c>
      <c r="D5" s="26"/>
      <c r="E5" s="26">
        <v>0.40251197360837798</v>
      </c>
      <c r="F5" s="26"/>
      <c r="G5" s="26">
        <v>0.366344327404593</v>
      </c>
      <c r="H5" s="26"/>
      <c r="J5" s="29">
        <v>0.96022595730888505</v>
      </c>
      <c r="K5" s="30"/>
      <c r="L5" s="29">
        <v>0.93781543732925798</v>
      </c>
      <c r="M5" s="30"/>
      <c r="N5" s="29">
        <v>0.98835313300722105</v>
      </c>
      <c r="O5" s="30"/>
    </row>
    <row r="6" spans="1:28" x14ac:dyDescent="0.3">
      <c r="A6" s="35"/>
      <c r="B6" s="4">
        <f t="shared" ref="B6" si="0">1+B5</f>
        <v>3</v>
      </c>
      <c r="C6" s="26">
        <v>0.83058237728358497</v>
      </c>
      <c r="D6" s="26"/>
      <c r="E6" s="26">
        <v>0.50416705157504504</v>
      </c>
      <c r="F6" s="26"/>
      <c r="G6" s="26">
        <v>0.80498290249496895</v>
      </c>
      <c r="H6" s="26"/>
      <c r="J6" s="29">
        <v>0.92704523435798403</v>
      </c>
      <c r="K6" s="30"/>
      <c r="L6" s="29">
        <v>0.94273418900346195</v>
      </c>
      <c r="M6" s="30"/>
      <c r="N6" s="29">
        <v>0.90636066197149601</v>
      </c>
      <c r="O6" s="30"/>
      <c r="R6" t="s">
        <v>67</v>
      </c>
      <c r="S6" t="s">
        <v>62</v>
      </c>
      <c r="T6" t="s">
        <v>58</v>
      </c>
      <c r="U6" t="s">
        <v>60</v>
      </c>
      <c r="Y6" t="s">
        <v>68</v>
      </c>
      <c r="Z6" t="s">
        <v>62</v>
      </c>
      <c r="AA6" t="s">
        <v>58</v>
      </c>
      <c r="AB6" t="s">
        <v>60</v>
      </c>
    </row>
    <row r="7" spans="1:28" x14ac:dyDescent="0.3">
      <c r="A7" s="35"/>
      <c r="B7" s="4">
        <v>3</v>
      </c>
      <c r="C7" s="26">
        <v>0.63085329570736204</v>
      </c>
      <c r="D7" s="26"/>
      <c r="E7" s="26">
        <v>0.61149144782308196</v>
      </c>
      <c r="F7" s="26"/>
      <c r="G7" s="26">
        <v>0.64069160673953096</v>
      </c>
      <c r="H7" s="26"/>
      <c r="J7" s="29">
        <v>0.721764734334566</v>
      </c>
      <c r="K7" s="30"/>
      <c r="L7" s="29">
        <v>0.68476867638878802</v>
      </c>
      <c r="M7" s="30"/>
      <c r="N7" s="29">
        <v>0.85109288675223904</v>
      </c>
      <c r="O7" s="30"/>
      <c r="R7" t="s">
        <v>62</v>
      </c>
      <c r="S7">
        <v>0.745</v>
      </c>
      <c r="T7">
        <v>0.65</v>
      </c>
      <c r="U7">
        <v>0.73599999999999999</v>
      </c>
      <c r="Y7" t="s">
        <v>62</v>
      </c>
      <c r="Z7">
        <v>0.91</v>
      </c>
      <c r="AA7">
        <v>0.81899999999999995</v>
      </c>
      <c r="AB7">
        <v>0.89300000000000002</v>
      </c>
    </row>
    <row r="8" spans="1:28" x14ac:dyDescent="0.3">
      <c r="A8" s="35"/>
      <c r="B8" s="4">
        <f t="shared" ref="B8" si="1">1+B7</f>
        <v>4</v>
      </c>
      <c r="C8" s="26">
        <v>0.95298063766150398</v>
      </c>
      <c r="D8" s="26"/>
      <c r="E8" s="26">
        <v>0.93440596986683699</v>
      </c>
      <c r="F8" s="26"/>
      <c r="G8" s="26">
        <v>0.948430250075323</v>
      </c>
      <c r="H8" s="26"/>
      <c r="J8" s="29">
        <v>0.95956886461178303</v>
      </c>
      <c r="K8" s="30"/>
      <c r="L8" s="29">
        <v>0.96336690401872804</v>
      </c>
      <c r="M8" s="30"/>
      <c r="N8" s="29">
        <v>0.98107562270925197</v>
      </c>
      <c r="O8" s="30"/>
      <c r="R8" t="s">
        <v>58</v>
      </c>
      <c r="S8">
        <v>0.75700000000000001</v>
      </c>
      <c r="T8">
        <v>0.83899999999999997</v>
      </c>
      <c r="U8">
        <v>0.85699999999999998</v>
      </c>
      <c r="Y8" t="s">
        <v>58</v>
      </c>
      <c r="Z8">
        <v>0.83599999999999997</v>
      </c>
      <c r="AA8">
        <v>0.92900000000000005</v>
      </c>
      <c r="AB8">
        <v>0.94699999999999995</v>
      </c>
    </row>
    <row r="9" spans="1:28" x14ac:dyDescent="0.3">
      <c r="A9" s="35"/>
      <c r="B9" s="4">
        <v>4</v>
      </c>
      <c r="C9" s="26">
        <v>0.86965352710718102</v>
      </c>
      <c r="D9" s="26"/>
      <c r="E9" s="26">
        <v>0.87981372255423995</v>
      </c>
      <c r="F9" s="26"/>
      <c r="G9" s="26">
        <v>0.90885986897067195</v>
      </c>
      <c r="H9" s="26"/>
      <c r="J9" s="29">
        <v>0.871045247281655</v>
      </c>
      <c r="K9" s="30"/>
      <c r="L9" s="29">
        <v>0.88879779024903505</v>
      </c>
      <c r="M9" s="30"/>
      <c r="N9" s="29">
        <v>0.953070822574695</v>
      </c>
      <c r="O9" s="30"/>
    </row>
    <row r="10" spans="1:28" x14ac:dyDescent="0.3">
      <c r="A10" s="35"/>
      <c r="B10" s="4">
        <f t="shared" ref="B10" si="2">1+B9</f>
        <v>5</v>
      </c>
      <c r="C10" s="26">
        <v>0.56266969754372598</v>
      </c>
      <c r="D10" s="26"/>
      <c r="E10" s="26">
        <v>0.59036484807409895</v>
      </c>
      <c r="F10" s="26"/>
      <c r="G10" s="26">
        <v>0.48519383188833298</v>
      </c>
      <c r="H10" s="26"/>
      <c r="J10" s="29">
        <v>0.56648453467341797</v>
      </c>
      <c r="K10" s="30"/>
      <c r="L10" s="29">
        <v>0.59806043730749703</v>
      </c>
      <c r="M10" s="30"/>
      <c r="N10" s="29">
        <v>0.49424080608589399</v>
      </c>
      <c r="O10" s="30"/>
    </row>
    <row r="11" spans="1:28" x14ac:dyDescent="0.3">
      <c r="A11" s="35"/>
      <c r="B11" s="4">
        <v>5</v>
      </c>
      <c r="C11" s="26">
        <v>0.43053178628063599</v>
      </c>
      <c r="D11" s="26"/>
      <c r="E11" s="26">
        <v>0.53557802588769499</v>
      </c>
      <c r="F11" s="26"/>
      <c r="G11" s="26">
        <v>0.65656839509195997</v>
      </c>
      <c r="H11" s="26"/>
      <c r="J11" s="29">
        <v>0.998089067647005</v>
      </c>
      <c r="K11" s="30"/>
      <c r="L11" s="29">
        <v>0.83285711685806296</v>
      </c>
      <c r="M11" s="30"/>
      <c r="N11" s="29">
        <v>0.93030806215767403</v>
      </c>
      <c r="O11" s="30"/>
    </row>
    <row r="12" spans="1:28" x14ac:dyDescent="0.3">
      <c r="A12" s="35"/>
      <c r="B12" s="4">
        <f t="shared" ref="B12" si="3">1+B11</f>
        <v>6</v>
      </c>
      <c r="C12" s="26">
        <v>0.54526299360074904</v>
      </c>
      <c r="D12" s="26"/>
      <c r="E12" s="26">
        <v>0.44818101509797598</v>
      </c>
      <c r="F12" s="26"/>
      <c r="G12" s="26">
        <v>0.43033146353900997</v>
      </c>
      <c r="H12" s="26"/>
      <c r="J12" s="29">
        <v>0.89553960522942799</v>
      </c>
      <c r="K12" s="30"/>
      <c r="L12" s="29">
        <v>0.95372981286849501</v>
      </c>
      <c r="M12" s="30"/>
      <c r="N12" s="29">
        <v>0.96824085547753402</v>
      </c>
      <c r="O12" s="30"/>
    </row>
    <row r="13" spans="1:28" x14ac:dyDescent="0.3">
      <c r="A13" s="35"/>
      <c r="B13" s="4">
        <v>6</v>
      </c>
      <c r="C13" s="26">
        <v>0.85995558080677603</v>
      </c>
      <c r="D13" s="26"/>
      <c r="E13" s="26">
        <v>0.86644190323194303</v>
      </c>
      <c r="F13" s="26"/>
      <c r="G13" s="26">
        <v>0.86143240931903897</v>
      </c>
      <c r="H13" s="26"/>
      <c r="J13" s="29">
        <v>0.94907370461152596</v>
      </c>
      <c r="K13" s="30"/>
      <c r="L13" s="29">
        <v>0.93462919683064405</v>
      </c>
      <c r="M13" s="30"/>
      <c r="N13" s="29">
        <v>0.95347458599456902</v>
      </c>
      <c r="O13" s="30"/>
    </row>
    <row r="14" spans="1:28" x14ac:dyDescent="0.3">
      <c r="A14" s="35"/>
      <c r="B14" s="4">
        <f t="shared" ref="B14" si="4">1+B13</f>
        <v>7</v>
      </c>
      <c r="C14" s="26">
        <v>0.86470947713217094</v>
      </c>
      <c r="D14" s="26"/>
      <c r="E14" s="26">
        <v>0.78659608538311199</v>
      </c>
      <c r="F14" s="26"/>
      <c r="G14" s="26">
        <v>0.91389588279020695</v>
      </c>
      <c r="H14" s="26"/>
      <c r="J14" s="29">
        <v>0.88120967541040696</v>
      </c>
      <c r="K14" s="30"/>
      <c r="L14" s="29">
        <v>0.80028896694317797</v>
      </c>
      <c r="M14" s="30"/>
      <c r="N14" s="29">
        <v>0.94225178006329102</v>
      </c>
      <c r="O14" s="30"/>
    </row>
    <row r="15" spans="1:28" x14ac:dyDescent="0.3">
      <c r="A15" s="35"/>
      <c r="B15" s="4">
        <v>7</v>
      </c>
      <c r="C15" s="26">
        <v>0.91987534548547001</v>
      </c>
      <c r="D15" s="26"/>
      <c r="E15" s="26">
        <v>0.76768680232868602</v>
      </c>
      <c r="F15" s="26"/>
      <c r="G15" s="26">
        <v>0.89318885448916396</v>
      </c>
      <c r="H15" s="26"/>
      <c r="J15" s="29">
        <v>0.93527807247831896</v>
      </c>
      <c r="K15" s="30"/>
      <c r="L15" s="29">
        <v>0.81764372932553198</v>
      </c>
      <c r="M15" s="30"/>
      <c r="N15" s="29">
        <v>0.91063748419631596</v>
      </c>
      <c r="O15" s="30"/>
    </row>
    <row r="16" spans="1:28" x14ac:dyDescent="0.3">
      <c r="A16" s="35"/>
      <c r="B16" s="4">
        <f t="shared" ref="B16" si="5">1+B15</f>
        <v>8</v>
      </c>
      <c r="C16" s="26">
        <v>0.85778310365488297</v>
      </c>
      <c r="D16" s="26"/>
      <c r="E16" s="26">
        <v>0.73542832909245104</v>
      </c>
      <c r="F16" s="26"/>
      <c r="G16" s="26">
        <v>0.85479072283453905</v>
      </c>
      <c r="H16" s="26"/>
      <c r="J16" s="29">
        <v>0.97305747376434104</v>
      </c>
      <c r="K16" s="30"/>
      <c r="L16" s="29">
        <v>0.78577383865296402</v>
      </c>
      <c r="M16" s="30"/>
      <c r="N16" s="29">
        <v>0.97233332307786902</v>
      </c>
      <c r="O16" s="30"/>
    </row>
    <row r="17" spans="1:15" x14ac:dyDescent="0.3">
      <c r="A17" s="35"/>
      <c r="B17" s="4">
        <v>8</v>
      </c>
      <c r="C17" s="26">
        <v>0.88122026392172104</v>
      </c>
      <c r="D17" s="26"/>
      <c r="E17" s="26">
        <v>0.58240310505597104</v>
      </c>
      <c r="F17" s="26"/>
      <c r="G17" s="26">
        <v>0.84194785895929303</v>
      </c>
      <c r="H17" s="26"/>
      <c r="J17" s="29">
        <v>0.98840409464675205</v>
      </c>
      <c r="K17" s="30"/>
      <c r="L17" s="29">
        <v>0.61944957207585105</v>
      </c>
      <c r="M17" s="30"/>
      <c r="N17" s="29">
        <v>0.98806987332905205</v>
      </c>
      <c r="O17" s="30"/>
    </row>
    <row r="18" spans="1:15" x14ac:dyDescent="0.3">
      <c r="A18" s="35"/>
      <c r="B18" s="4">
        <f t="shared" ref="B18" si="6">1+B17</f>
        <v>9</v>
      </c>
      <c r="C18" s="26">
        <v>0.90733157471109005</v>
      </c>
      <c r="D18" s="26"/>
      <c r="E18" s="26">
        <v>0.75329734669979698</v>
      </c>
      <c r="F18" s="26"/>
      <c r="G18" s="26">
        <v>0.82674757982950398</v>
      </c>
      <c r="H18" s="26"/>
      <c r="J18" s="29">
        <v>0.92620846827395897</v>
      </c>
      <c r="K18" s="30"/>
      <c r="L18" s="29">
        <v>0.79090800047978804</v>
      </c>
      <c r="M18" s="30"/>
      <c r="N18" s="29">
        <v>0.85318764426259797</v>
      </c>
      <c r="O18" s="30"/>
    </row>
    <row r="19" spans="1:15" x14ac:dyDescent="0.3">
      <c r="A19" s="35"/>
      <c r="B19" s="4">
        <v>9</v>
      </c>
      <c r="C19" s="26">
        <v>0.83710715638015898</v>
      </c>
      <c r="D19" s="26"/>
      <c r="E19" s="26">
        <v>0.55422677105366003</v>
      </c>
      <c r="F19" s="26"/>
      <c r="G19" s="26">
        <v>0.73081361483256202</v>
      </c>
      <c r="H19" s="26"/>
      <c r="J19" s="29">
        <v>0.99055504776242398</v>
      </c>
      <c r="K19" s="30"/>
      <c r="L19" s="29">
        <v>0.99087764575156301</v>
      </c>
      <c r="M19" s="30"/>
      <c r="N19" s="29">
        <v>0.94045766978757095</v>
      </c>
      <c r="O19" s="30"/>
    </row>
    <row r="20" spans="1:15" x14ac:dyDescent="0.3">
      <c r="A20" s="35"/>
      <c r="C20" s="27">
        <f>AVERAGE(C3:C19)</f>
        <v>0.7454937211744157</v>
      </c>
      <c r="D20" s="27"/>
      <c r="E20" s="27">
        <f>AVERAGE(E3:E19)</f>
        <v>0.65031380880414935</v>
      </c>
      <c r="F20" s="27"/>
      <c r="G20" s="27">
        <f>AVERAGE(G3:G19)</f>
        <v>0.74073620532418805</v>
      </c>
      <c r="H20" s="27"/>
      <c r="J20" s="33">
        <f>AVERAGE(J3:J19)</f>
        <v>0.91067934213165003</v>
      </c>
      <c r="K20" s="34"/>
      <c r="L20" s="33">
        <f>AVERAGE(L3:L19)</f>
        <v>0.81994369290085589</v>
      </c>
      <c r="M20" s="34"/>
      <c r="N20" s="33">
        <f>AVERAGE(N3:N19)</f>
        <v>0.90512990674487248</v>
      </c>
      <c r="O20" s="34"/>
    </row>
    <row r="21" spans="1:15" x14ac:dyDescent="0.3">
      <c r="A21" s="16"/>
      <c r="C21" s="17"/>
      <c r="D21" s="17"/>
      <c r="E21" s="17"/>
      <c r="F21" s="17"/>
      <c r="G21" s="17"/>
      <c r="H21" s="17"/>
      <c r="I21" s="15"/>
      <c r="J21" s="17"/>
      <c r="K21" s="17"/>
      <c r="L21" s="17"/>
      <c r="M21" s="17"/>
      <c r="N21" s="17"/>
      <c r="O21" s="17"/>
    </row>
    <row r="23" spans="1:15" x14ac:dyDescent="0.3">
      <c r="A23" s="28" t="s">
        <v>51</v>
      </c>
      <c r="B23" s="2">
        <f>1+B19</f>
        <v>10</v>
      </c>
      <c r="C23" s="26">
        <v>0.90256899488926701</v>
      </c>
      <c r="D23" s="26"/>
      <c r="E23" s="26">
        <v>0.93888115479746403</v>
      </c>
      <c r="F23" s="26"/>
      <c r="G23" s="26">
        <v>0.93930859422216795</v>
      </c>
      <c r="H23" s="26"/>
      <c r="J23" s="29">
        <v>0.92997065142600299</v>
      </c>
      <c r="K23" s="30"/>
      <c r="L23" s="29">
        <v>0.97545391993034902</v>
      </c>
      <c r="M23" s="30"/>
      <c r="N23" s="29">
        <v>0.99298474277390103</v>
      </c>
      <c r="O23" s="30"/>
    </row>
    <row r="24" spans="1:15" ht="15" customHeight="1" x14ac:dyDescent="0.3">
      <c r="A24" s="28"/>
      <c r="B24" s="2">
        <f t="shared" ref="B24:B44" si="7">1+B23</f>
        <v>11</v>
      </c>
      <c r="C24" s="26">
        <v>0.88649598566555199</v>
      </c>
      <c r="D24" s="26"/>
      <c r="E24" s="26">
        <v>0.837783673784807</v>
      </c>
      <c r="F24" s="26"/>
      <c r="G24" s="26">
        <v>0.898899184114059</v>
      </c>
      <c r="H24" s="26"/>
      <c r="J24" s="29">
        <v>0.90159979907598298</v>
      </c>
      <c r="K24" s="30"/>
      <c r="L24" s="29">
        <v>0.94982156311876098</v>
      </c>
      <c r="M24" s="30"/>
      <c r="N24" s="29">
        <v>0.997974243078663</v>
      </c>
      <c r="O24" s="30"/>
    </row>
    <row r="25" spans="1:15" x14ac:dyDescent="0.3">
      <c r="A25" s="28"/>
      <c r="B25" s="2">
        <f t="shared" si="7"/>
        <v>12</v>
      </c>
      <c r="C25" s="26">
        <v>0.98717407539695401</v>
      </c>
      <c r="D25" s="26"/>
      <c r="E25" s="26">
        <v>0.96913092262967304</v>
      </c>
      <c r="F25" s="26"/>
      <c r="G25" s="26">
        <v>0.96888243357100601</v>
      </c>
      <c r="H25" s="26"/>
      <c r="J25" s="29">
        <v>0.99729697812651696</v>
      </c>
      <c r="K25" s="30"/>
      <c r="L25" s="29">
        <v>0.99732322105732696</v>
      </c>
      <c r="M25" s="30"/>
      <c r="N25" s="29">
        <v>0.999850761763866</v>
      </c>
      <c r="O25" s="30"/>
    </row>
    <row r="26" spans="1:15" x14ac:dyDescent="0.3">
      <c r="A26" s="28"/>
      <c r="B26" s="2">
        <f t="shared" si="7"/>
        <v>13</v>
      </c>
      <c r="C26" s="26">
        <v>0.93708219225741596</v>
      </c>
      <c r="D26" s="26"/>
      <c r="E26" s="26">
        <v>0.90552790437355002</v>
      </c>
      <c r="F26" s="26"/>
      <c r="G26" s="26">
        <v>0.90037102941733205</v>
      </c>
      <c r="H26" s="26"/>
      <c r="J26" s="29">
        <v>0.95683241476609504</v>
      </c>
      <c r="K26" s="30"/>
      <c r="L26" s="29">
        <v>0.91961775422997605</v>
      </c>
      <c r="M26" s="30"/>
      <c r="N26" s="29">
        <v>0.995593791537149</v>
      </c>
      <c r="O26" s="30"/>
    </row>
    <row r="27" spans="1:15" x14ac:dyDescent="0.3">
      <c r="A27" s="28"/>
      <c r="B27" s="2">
        <f t="shared" si="7"/>
        <v>14</v>
      </c>
      <c r="C27" s="26">
        <v>0.94969307193369201</v>
      </c>
      <c r="D27" s="26"/>
      <c r="E27" s="26">
        <v>0.95556291573514396</v>
      </c>
      <c r="F27" s="26"/>
      <c r="G27" s="26">
        <v>0.92685664642433196</v>
      </c>
      <c r="H27" s="26"/>
      <c r="J27" s="29">
        <v>0.98860075994933605</v>
      </c>
      <c r="K27" s="30"/>
      <c r="L27" s="29">
        <v>0.989105488205548</v>
      </c>
      <c r="M27" s="30"/>
      <c r="N27" s="29">
        <v>0.97968433206956995</v>
      </c>
      <c r="O27" s="30"/>
    </row>
    <row r="28" spans="1:15" x14ac:dyDescent="0.3">
      <c r="A28" s="28"/>
      <c r="B28" s="2">
        <f t="shared" si="7"/>
        <v>15</v>
      </c>
      <c r="C28" s="26">
        <v>0.887912065728647</v>
      </c>
      <c r="D28" s="26"/>
      <c r="E28" s="26">
        <v>0.787991286194063</v>
      </c>
      <c r="F28" s="26"/>
      <c r="G28" s="26">
        <v>0.68930156808486098</v>
      </c>
      <c r="H28" s="26"/>
      <c r="J28" s="29">
        <v>0.99542846797098605</v>
      </c>
      <c r="K28" s="30"/>
      <c r="L28" s="29">
        <v>0.98234754959093795</v>
      </c>
      <c r="M28" s="30"/>
      <c r="N28" s="29">
        <v>0.99293084476923998</v>
      </c>
      <c r="O28" s="30"/>
    </row>
    <row r="29" spans="1:15" x14ac:dyDescent="0.3">
      <c r="A29" s="28"/>
      <c r="B29" s="2">
        <f t="shared" si="7"/>
        <v>16</v>
      </c>
      <c r="C29" s="26">
        <v>0.116147458828706</v>
      </c>
      <c r="D29" s="26"/>
      <c r="E29" s="26">
        <v>0.98288141845466503</v>
      </c>
      <c r="F29" s="26"/>
      <c r="G29" s="26">
        <v>0.85438514662293297</v>
      </c>
      <c r="H29" s="26"/>
      <c r="J29" s="29">
        <v>0.116753015378944</v>
      </c>
      <c r="K29" s="30"/>
      <c r="L29" s="29">
        <v>0.993049781909774</v>
      </c>
      <c r="M29" s="30"/>
      <c r="N29" s="29">
        <v>0.93480560208411301</v>
      </c>
      <c r="O29" s="30"/>
    </row>
    <row r="30" spans="1:15" x14ac:dyDescent="0.3">
      <c r="A30" s="28"/>
      <c r="B30" s="4">
        <f t="shared" si="7"/>
        <v>17</v>
      </c>
      <c r="C30" s="26">
        <v>2.52895218771821E-2</v>
      </c>
      <c r="D30" s="26"/>
      <c r="E30" s="26">
        <v>0.96120223622794698</v>
      </c>
      <c r="F30" s="26"/>
      <c r="G30" s="26">
        <v>0.82170885648088399</v>
      </c>
      <c r="H30" s="26"/>
      <c r="J30" s="29">
        <v>2.5812568078210901E-2</v>
      </c>
      <c r="K30" s="30"/>
      <c r="L30" s="29">
        <v>0.98031951373667003</v>
      </c>
      <c r="M30" s="30"/>
      <c r="N30" s="29">
        <v>0.91199661682854904</v>
      </c>
      <c r="O30" s="30"/>
    </row>
    <row r="31" spans="1:15" x14ac:dyDescent="0.3">
      <c r="A31" s="28"/>
      <c r="B31" s="4">
        <f t="shared" si="7"/>
        <v>18</v>
      </c>
      <c r="C31" s="26">
        <v>0.55002156101767996</v>
      </c>
      <c r="D31" s="26"/>
      <c r="E31" s="26">
        <v>0.97633567480764105</v>
      </c>
      <c r="F31" s="26"/>
      <c r="G31" s="26">
        <v>0.56321774406814895</v>
      </c>
      <c r="H31" s="26"/>
      <c r="J31" s="29">
        <v>0.58585122316525196</v>
      </c>
      <c r="K31" s="30"/>
      <c r="L31" s="29">
        <v>0.98952571143284995</v>
      </c>
      <c r="M31" s="30"/>
      <c r="N31" s="29">
        <v>0.99926127798907805</v>
      </c>
      <c r="O31" s="30"/>
    </row>
    <row r="32" spans="1:15" x14ac:dyDescent="0.3">
      <c r="A32" s="28"/>
      <c r="B32" s="4">
        <f t="shared" si="7"/>
        <v>19</v>
      </c>
      <c r="C32" s="26">
        <v>0.85758891026322603</v>
      </c>
      <c r="D32" s="26"/>
      <c r="E32" s="26">
        <v>0.75669039782311298</v>
      </c>
      <c r="F32" s="26"/>
      <c r="G32" s="26">
        <v>0.97574620599651596</v>
      </c>
      <c r="H32" s="26"/>
      <c r="J32" s="29">
        <v>0.86089694758344204</v>
      </c>
      <c r="K32" s="30"/>
      <c r="L32" s="29">
        <v>0.75963493272650495</v>
      </c>
      <c r="M32" s="30"/>
      <c r="N32" s="29">
        <v>0.99406589109394805</v>
      </c>
      <c r="O32" s="30"/>
    </row>
    <row r="33" spans="1:15" x14ac:dyDescent="0.3">
      <c r="A33" s="28"/>
      <c r="B33" s="4">
        <f t="shared" si="7"/>
        <v>20</v>
      </c>
      <c r="C33" s="26">
        <v>0.87016500768254301</v>
      </c>
      <c r="D33" s="26"/>
      <c r="E33" s="26">
        <v>0.93032641332773702</v>
      </c>
      <c r="F33" s="26"/>
      <c r="G33" s="26">
        <v>0.93631503698638596</v>
      </c>
      <c r="H33" s="26"/>
      <c r="J33" s="29">
        <v>0.88681236383442197</v>
      </c>
      <c r="K33" s="30"/>
      <c r="L33" s="29">
        <v>0.98090277777777701</v>
      </c>
      <c r="M33" s="30"/>
      <c r="N33" s="29">
        <v>0.96421598438050105</v>
      </c>
      <c r="O33" s="30"/>
    </row>
    <row r="34" spans="1:15" x14ac:dyDescent="0.3">
      <c r="A34" s="28"/>
      <c r="B34" s="4">
        <f t="shared" si="7"/>
        <v>21</v>
      </c>
      <c r="C34" s="26">
        <v>0.92837050042194902</v>
      </c>
      <c r="D34" s="26"/>
      <c r="E34" s="26">
        <v>0.91504816193467498</v>
      </c>
      <c r="F34" s="26"/>
      <c r="G34" s="26">
        <v>0.90985603336621901</v>
      </c>
      <c r="H34" s="26"/>
      <c r="J34" s="29">
        <v>0.93777159402113397</v>
      </c>
      <c r="K34" s="30"/>
      <c r="L34" s="29">
        <v>0.94057388092240302</v>
      </c>
      <c r="M34" s="30"/>
      <c r="N34" s="29">
        <v>0.99515183749450198</v>
      </c>
      <c r="O34" s="30"/>
    </row>
    <row r="35" spans="1:15" x14ac:dyDescent="0.3">
      <c r="A35" s="28"/>
      <c r="B35" s="4">
        <f t="shared" si="7"/>
        <v>22</v>
      </c>
      <c r="C35" s="26">
        <v>0.759872455236693</v>
      </c>
      <c r="D35" s="26"/>
      <c r="E35" s="26">
        <v>0.82018103395905395</v>
      </c>
      <c r="F35" s="26"/>
      <c r="G35" s="26">
        <v>0.73644412538884896</v>
      </c>
      <c r="H35" s="26"/>
      <c r="J35" s="29">
        <v>0.99578571428571405</v>
      </c>
      <c r="K35" s="30"/>
      <c r="L35" s="29">
        <v>0.96435714285714202</v>
      </c>
      <c r="M35" s="30"/>
      <c r="N35" s="29">
        <v>0.98486351563249996</v>
      </c>
      <c r="O35" s="30"/>
    </row>
    <row r="36" spans="1:15" x14ac:dyDescent="0.3">
      <c r="A36" s="28"/>
      <c r="B36" s="4">
        <f t="shared" si="7"/>
        <v>23</v>
      </c>
      <c r="C36" s="26">
        <v>0.96425340138957605</v>
      </c>
      <c r="D36" s="26"/>
      <c r="E36" s="26">
        <v>0.78944755591914295</v>
      </c>
      <c r="F36" s="26"/>
      <c r="G36" s="26">
        <v>0.76194783256407805</v>
      </c>
      <c r="H36" s="26"/>
      <c r="J36" s="29">
        <v>0.98878784430770805</v>
      </c>
      <c r="K36" s="30"/>
      <c r="L36" s="29">
        <v>0.98822767415602397</v>
      </c>
      <c r="M36" s="30"/>
      <c r="N36" s="29">
        <v>0.99817038108348199</v>
      </c>
      <c r="O36" s="30"/>
    </row>
    <row r="37" spans="1:15" x14ac:dyDescent="0.3">
      <c r="A37" s="28"/>
      <c r="B37" s="4">
        <f t="shared" si="7"/>
        <v>24</v>
      </c>
      <c r="C37" s="26">
        <v>0.96808618574577698</v>
      </c>
      <c r="D37" s="26"/>
      <c r="E37" s="26">
        <v>0.927373517647884</v>
      </c>
      <c r="F37" s="26"/>
      <c r="G37" s="26">
        <v>0.94497422336191395</v>
      </c>
      <c r="H37" s="26"/>
      <c r="J37" s="29">
        <v>0.97918610292196795</v>
      </c>
      <c r="K37" s="30"/>
      <c r="L37" s="29">
        <v>0.98637907228421096</v>
      </c>
      <c r="M37" s="30"/>
      <c r="N37" s="29">
        <v>0.99886119790686201</v>
      </c>
      <c r="O37" s="30"/>
    </row>
    <row r="38" spans="1:15" x14ac:dyDescent="0.3">
      <c r="A38" s="28"/>
      <c r="B38" s="4">
        <f t="shared" si="7"/>
        <v>25</v>
      </c>
      <c r="C38" s="26">
        <v>0.26729023008124497</v>
      </c>
      <c r="D38" s="26"/>
      <c r="E38" s="26">
        <v>0.26098899642052198</v>
      </c>
      <c r="F38" s="26"/>
      <c r="G38" s="26">
        <v>0.94554986937694596</v>
      </c>
      <c r="H38" s="26"/>
      <c r="J38" s="29">
        <v>0.375110554245283</v>
      </c>
      <c r="K38" s="30"/>
      <c r="L38" s="29">
        <v>0.362735849056603</v>
      </c>
      <c r="M38" s="30"/>
      <c r="N38" s="29">
        <v>0.99507574687644096</v>
      </c>
      <c r="O38" s="30"/>
    </row>
    <row r="39" spans="1:15" x14ac:dyDescent="0.3">
      <c r="A39" s="28"/>
      <c r="B39" s="4">
        <f t="shared" si="7"/>
        <v>26</v>
      </c>
      <c r="C39" s="26">
        <v>0.93242442205097797</v>
      </c>
      <c r="D39" s="26"/>
      <c r="E39" s="26">
        <v>0.88419238602537897</v>
      </c>
      <c r="F39" s="26"/>
      <c r="G39" s="26">
        <v>0.76681504804299405</v>
      </c>
      <c r="H39" s="26"/>
      <c r="J39" s="29">
        <v>0.99827239713711502</v>
      </c>
      <c r="K39" s="30"/>
      <c r="L39" s="29">
        <v>0.99492296301519501</v>
      </c>
      <c r="M39" s="30"/>
      <c r="N39" s="29">
        <v>0.92830151480300904</v>
      </c>
      <c r="O39" s="30"/>
    </row>
    <row r="40" spans="1:15" x14ac:dyDescent="0.3">
      <c r="A40" s="28"/>
      <c r="B40" s="4">
        <f t="shared" si="7"/>
        <v>27</v>
      </c>
      <c r="C40" s="26">
        <v>0.89095374087717105</v>
      </c>
      <c r="D40" s="26"/>
      <c r="E40" s="26">
        <v>0.89099114018381997</v>
      </c>
      <c r="F40" s="26"/>
      <c r="G40" s="26">
        <v>0.79859756486262501</v>
      </c>
      <c r="H40" s="26"/>
      <c r="J40" s="29">
        <v>0.929127400906409</v>
      </c>
      <c r="K40" s="30"/>
      <c r="L40" s="29">
        <v>0.92889720164016898</v>
      </c>
      <c r="M40" s="30"/>
      <c r="N40" s="29">
        <v>0.99724570537007795</v>
      </c>
      <c r="O40" s="30"/>
    </row>
    <row r="41" spans="1:15" x14ac:dyDescent="0.3">
      <c r="A41" s="18"/>
      <c r="B41" s="4">
        <f t="shared" si="7"/>
        <v>28</v>
      </c>
      <c r="C41" s="26">
        <v>0.98084147778470898</v>
      </c>
      <c r="D41" s="26"/>
      <c r="E41" s="26">
        <v>0.97884498312026103</v>
      </c>
      <c r="F41" s="26"/>
      <c r="G41" s="26">
        <v>0.93325351691110403</v>
      </c>
      <c r="H41" s="26"/>
      <c r="J41" s="29">
        <v>0.99425255051853501</v>
      </c>
      <c r="K41" s="30"/>
      <c r="L41" s="29">
        <v>0.99416823585621505</v>
      </c>
      <c r="M41" s="30"/>
      <c r="N41" s="29">
        <v>0.998051604642747</v>
      </c>
      <c r="O41" s="30"/>
    </row>
    <row r="42" spans="1:15" x14ac:dyDescent="0.3">
      <c r="A42" s="18"/>
      <c r="B42" s="4">
        <f t="shared" si="7"/>
        <v>29</v>
      </c>
      <c r="C42" s="26">
        <v>0.75025909561991999</v>
      </c>
      <c r="D42" s="26"/>
      <c r="E42" s="26">
        <v>0.78886551113782799</v>
      </c>
      <c r="F42" s="26"/>
      <c r="G42" s="26">
        <v>0.80894954883377701</v>
      </c>
      <c r="H42" s="26"/>
      <c r="J42" s="29">
        <v>0.98981721358664299</v>
      </c>
      <c r="K42" s="30"/>
      <c r="L42" s="29">
        <v>0.849920840529648</v>
      </c>
      <c r="M42" s="30"/>
      <c r="N42" s="29">
        <v>0.99650459645566003</v>
      </c>
      <c r="O42" s="30"/>
    </row>
    <row r="43" spans="1:15" x14ac:dyDescent="0.3">
      <c r="A43" s="18"/>
      <c r="B43" s="4">
        <f t="shared" si="7"/>
        <v>30</v>
      </c>
      <c r="C43" s="26">
        <v>0.687563012175891</v>
      </c>
      <c r="D43" s="26"/>
      <c r="E43" s="26">
        <v>0.49729094835751902</v>
      </c>
      <c r="F43" s="26"/>
      <c r="G43" s="26">
        <v>0.26703340846704898</v>
      </c>
      <c r="H43" s="26"/>
      <c r="J43" s="29">
        <v>0.97614416266010895</v>
      </c>
      <c r="K43" s="30"/>
      <c r="L43" s="29">
        <v>0.96340881564942904</v>
      </c>
      <c r="M43" s="30"/>
      <c r="N43" s="29">
        <v>0.99887302779864695</v>
      </c>
      <c r="O43" s="30"/>
    </row>
    <row r="44" spans="1:15" x14ac:dyDescent="0.3">
      <c r="A44" s="18"/>
      <c r="B44" s="4">
        <f t="shared" si="7"/>
        <v>31</v>
      </c>
      <c r="C44" s="26">
        <v>0.56176304455270698</v>
      </c>
      <c r="D44" s="26"/>
      <c r="E44" s="26">
        <v>0.70879781673527897</v>
      </c>
      <c r="F44" s="26"/>
      <c r="G44" s="26">
        <v>0.369020630888233</v>
      </c>
      <c r="H44" s="26"/>
      <c r="J44" s="29">
        <v>0.99558906337984099</v>
      </c>
      <c r="K44" s="30"/>
      <c r="L44" s="29">
        <v>0.958737408496527</v>
      </c>
      <c r="M44" s="30"/>
      <c r="N44" s="29">
        <v>0.97884749040582597</v>
      </c>
      <c r="O44" s="30"/>
    </row>
    <row r="45" spans="1:15" x14ac:dyDescent="0.3">
      <c r="A45" s="18"/>
      <c r="C45" s="27">
        <f>AVERAGE(C23:C44)</f>
        <v>0.7573552914307945</v>
      </c>
      <c r="D45" s="27"/>
      <c r="E45" s="27">
        <f>AVERAGE(E23:E44)</f>
        <v>0.83928800225441658</v>
      </c>
      <c r="F45" s="27"/>
      <c r="G45" s="27">
        <f>AVERAGE(G23:G44)</f>
        <v>0.80533792036601881</v>
      </c>
      <c r="H45" s="27"/>
      <c r="J45" s="33">
        <f>AVERAGE(J23:J44)</f>
        <v>0.83662271760571161</v>
      </c>
      <c r="K45" s="34"/>
      <c r="L45" s="33">
        <f>AVERAGE(L23:L44)</f>
        <v>0.9295196044627293</v>
      </c>
      <c r="M45" s="34"/>
      <c r="N45" s="33">
        <f>AVERAGE(N23:N44)</f>
        <v>0.98333230485628786</v>
      </c>
      <c r="O45" s="34"/>
    </row>
    <row r="47" spans="1:15" x14ac:dyDescent="0.3">
      <c r="C47" s="3" t="s">
        <v>63</v>
      </c>
      <c r="D47" s="3"/>
      <c r="E47" s="11" t="s">
        <v>59</v>
      </c>
      <c r="F47" s="11"/>
      <c r="G47" s="8" t="s">
        <v>61</v>
      </c>
      <c r="H47" s="8"/>
    </row>
  </sheetData>
  <mergeCells count="256">
    <mergeCell ref="C1:D1"/>
    <mergeCell ref="E1:F1"/>
    <mergeCell ref="G1:H1"/>
    <mergeCell ref="A3:A20"/>
    <mergeCell ref="C3:D3"/>
    <mergeCell ref="C4:D4"/>
    <mergeCell ref="C5:D5"/>
    <mergeCell ref="C6:D6"/>
    <mergeCell ref="C20:D20"/>
    <mergeCell ref="E20:F20"/>
    <mergeCell ref="G20:H20"/>
    <mergeCell ref="C19:D19"/>
    <mergeCell ref="E3:F3"/>
    <mergeCell ref="G3:H3"/>
    <mergeCell ref="E4:F4"/>
    <mergeCell ref="G4:H4"/>
    <mergeCell ref="E5:F5"/>
    <mergeCell ref="G5:H5"/>
    <mergeCell ref="E6:F6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G11:H11"/>
    <mergeCell ref="E12:F12"/>
    <mergeCell ref="G12:H12"/>
    <mergeCell ref="G6:H6"/>
    <mergeCell ref="E7:F7"/>
    <mergeCell ref="G7:H7"/>
    <mergeCell ref="E8:F8"/>
    <mergeCell ref="G8:H8"/>
    <mergeCell ref="E9:F9"/>
    <mergeCell ref="G9:H9"/>
    <mergeCell ref="J3:K3"/>
    <mergeCell ref="J4:K4"/>
    <mergeCell ref="L4:M4"/>
    <mergeCell ref="N4:O4"/>
    <mergeCell ref="L3:M3"/>
    <mergeCell ref="N3:O3"/>
    <mergeCell ref="E19:F19"/>
    <mergeCell ref="G19:H19"/>
    <mergeCell ref="C2:H2"/>
    <mergeCell ref="E16:F16"/>
    <mergeCell ref="G16:H16"/>
    <mergeCell ref="E17:F17"/>
    <mergeCell ref="G17:H17"/>
    <mergeCell ref="E18:F18"/>
    <mergeCell ref="G18:H18"/>
    <mergeCell ref="E13:F13"/>
    <mergeCell ref="G13:H13"/>
    <mergeCell ref="E14:F14"/>
    <mergeCell ref="G14:H14"/>
    <mergeCell ref="E15:F15"/>
    <mergeCell ref="G15:H15"/>
    <mergeCell ref="E10:F10"/>
    <mergeCell ref="G10:H10"/>
    <mergeCell ref="E11:F11"/>
    <mergeCell ref="J7:K7"/>
    <mergeCell ref="L7:M7"/>
    <mergeCell ref="N7:O7"/>
    <mergeCell ref="J8:K8"/>
    <mergeCell ref="L8:M8"/>
    <mergeCell ref="N8:O8"/>
    <mergeCell ref="J5:K5"/>
    <mergeCell ref="L5:M5"/>
    <mergeCell ref="N5:O5"/>
    <mergeCell ref="J6:K6"/>
    <mergeCell ref="L6:M6"/>
    <mergeCell ref="N6:O6"/>
    <mergeCell ref="J11:K11"/>
    <mergeCell ref="L11:M11"/>
    <mergeCell ref="N11:O11"/>
    <mergeCell ref="J12:K12"/>
    <mergeCell ref="L12:M12"/>
    <mergeCell ref="N12:O12"/>
    <mergeCell ref="J9:K9"/>
    <mergeCell ref="L9:M9"/>
    <mergeCell ref="N9:O9"/>
    <mergeCell ref="J10:K10"/>
    <mergeCell ref="L10:M10"/>
    <mergeCell ref="N10:O10"/>
    <mergeCell ref="J15:K15"/>
    <mergeCell ref="L15:M15"/>
    <mergeCell ref="N15:O15"/>
    <mergeCell ref="J16:K16"/>
    <mergeCell ref="L16:M16"/>
    <mergeCell ref="N16:O16"/>
    <mergeCell ref="J13:K13"/>
    <mergeCell ref="L13:M13"/>
    <mergeCell ref="N13:O13"/>
    <mergeCell ref="J14:K14"/>
    <mergeCell ref="L14:M14"/>
    <mergeCell ref="N14:O14"/>
    <mergeCell ref="L24:M24"/>
    <mergeCell ref="N24:O24"/>
    <mergeCell ref="J19:K19"/>
    <mergeCell ref="L19:M19"/>
    <mergeCell ref="N19:O19"/>
    <mergeCell ref="J20:K20"/>
    <mergeCell ref="L20:M20"/>
    <mergeCell ref="N20:O20"/>
    <mergeCell ref="J17:K17"/>
    <mergeCell ref="L17:M17"/>
    <mergeCell ref="N17:O17"/>
    <mergeCell ref="J18:K18"/>
    <mergeCell ref="L18:M18"/>
    <mergeCell ref="N18:O18"/>
    <mergeCell ref="J29:K29"/>
    <mergeCell ref="L29:M29"/>
    <mergeCell ref="N29:O29"/>
    <mergeCell ref="J30:K30"/>
    <mergeCell ref="L30:M30"/>
    <mergeCell ref="N30:O30"/>
    <mergeCell ref="J27:K27"/>
    <mergeCell ref="L27:M27"/>
    <mergeCell ref="N27:O27"/>
    <mergeCell ref="J28:K28"/>
    <mergeCell ref="L28:M28"/>
    <mergeCell ref="N28:O28"/>
    <mergeCell ref="J33:K33"/>
    <mergeCell ref="L33:M33"/>
    <mergeCell ref="N33:O33"/>
    <mergeCell ref="J34:K34"/>
    <mergeCell ref="L34:M34"/>
    <mergeCell ref="N34:O34"/>
    <mergeCell ref="J31:K31"/>
    <mergeCell ref="L31:M31"/>
    <mergeCell ref="N31:O31"/>
    <mergeCell ref="J32:K32"/>
    <mergeCell ref="L32:M32"/>
    <mergeCell ref="N32:O32"/>
    <mergeCell ref="J37:K37"/>
    <mergeCell ref="L37:M37"/>
    <mergeCell ref="N37:O37"/>
    <mergeCell ref="J38:K38"/>
    <mergeCell ref="L38:M38"/>
    <mergeCell ref="N38:O38"/>
    <mergeCell ref="J35:K35"/>
    <mergeCell ref="L35:M35"/>
    <mergeCell ref="N35:O35"/>
    <mergeCell ref="J36:K36"/>
    <mergeCell ref="L36:M36"/>
    <mergeCell ref="N36:O36"/>
    <mergeCell ref="J40:K40"/>
    <mergeCell ref="L40:M40"/>
    <mergeCell ref="N40:O40"/>
    <mergeCell ref="J41:K41"/>
    <mergeCell ref="L41:M41"/>
    <mergeCell ref="N41:O41"/>
    <mergeCell ref="J39:K39"/>
    <mergeCell ref="L39:M39"/>
    <mergeCell ref="N39:O39"/>
    <mergeCell ref="J44:K44"/>
    <mergeCell ref="L44:M44"/>
    <mergeCell ref="N44:O44"/>
    <mergeCell ref="J45:K45"/>
    <mergeCell ref="L45:M45"/>
    <mergeCell ref="N45:O45"/>
    <mergeCell ref="J42:K42"/>
    <mergeCell ref="L42:M42"/>
    <mergeCell ref="N42:O42"/>
    <mergeCell ref="J43:K43"/>
    <mergeCell ref="L43:M43"/>
    <mergeCell ref="N43:O43"/>
    <mergeCell ref="C25:D25"/>
    <mergeCell ref="E25:F25"/>
    <mergeCell ref="C26:D26"/>
    <mergeCell ref="E26:F26"/>
    <mergeCell ref="C27:D27"/>
    <mergeCell ref="E27:F27"/>
    <mergeCell ref="J1:K1"/>
    <mergeCell ref="L1:M1"/>
    <mergeCell ref="N1:O1"/>
    <mergeCell ref="C23:D23"/>
    <mergeCell ref="E23:F23"/>
    <mergeCell ref="C24:D24"/>
    <mergeCell ref="E24:F24"/>
    <mergeCell ref="J25:K25"/>
    <mergeCell ref="L25:M25"/>
    <mergeCell ref="N25:O25"/>
    <mergeCell ref="J26:K26"/>
    <mergeCell ref="L26:M26"/>
    <mergeCell ref="N26:O26"/>
    <mergeCell ref="J2:O2"/>
    <mergeCell ref="J23:K23"/>
    <mergeCell ref="L23:M23"/>
    <mergeCell ref="N23:O23"/>
    <mergeCell ref="J24:K24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G29:H29"/>
    <mergeCell ref="G30:H30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7:D37"/>
    <mergeCell ref="E37:F37"/>
    <mergeCell ref="C38:D38"/>
    <mergeCell ref="E38:F38"/>
    <mergeCell ref="C34:D34"/>
    <mergeCell ref="E34:F34"/>
    <mergeCell ref="C35:D35"/>
    <mergeCell ref="E35:F35"/>
    <mergeCell ref="C36:D36"/>
    <mergeCell ref="E36:F36"/>
    <mergeCell ref="G42:H42"/>
    <mergeCell ref="G43:H43"/>
    <mergeCell ref="G44:H44"/>
    <mergeCell ref="G45:H45"/>
    <mergeCell ref="A23:A40"/>
    <mergeCell ref="G37:H37"/>
    <mergeCell ref="G38:H38"/>
    <mergeCell ref="G39:H39"/>
    <mergeCell ref="G40:H40"/>
    <mergeCell ref="G41:H41"/>
    <mergeCell ref="G31:H31"/>
    <mergeCell ref="G32:H32"/>
    <mergeCell ref="G33:H33"/>
    <mergeCell ref="G34:H34"/>
    <mergeCell ref="G35:H35"/>
    <mergeCell ref="G36:H36"/>
    <mergeCell ref="C45:D45"/>
    <mergeCell ref="E45:F45"/>
    <mergeCell ref="G23:H23"/>
    <mergeCell ref="G24:H24"/>
    <mergeCell ref="G25:H25"/>
    <mergeCell ref="G26:H26"/>
    <mergeCell ref="G27:H27"/>
    <mergeCell ref="G28:H2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A17" workbookViewId="0">
      <selection activeCell="K53" sqref="K53"/>
    </sheetView>
  </sheetViews>
  <sheetFormatPr defaultRowHeight="15" x14ac:dyDescent="0.3"/>
  <cols>
    <col min="3" max="3" width="39.375" bestFit="1" customWidth="1"/>
  </cols>
  <sheetData>
    <row r="1" spans="1:15" x14ac:dyDescent="0.3">
      <c r="A1" s="2"/>
      <c r="B1" s="2"/>
      <c r="C1" s="2" t="s">
        <v>66</v>
      </c>
      <c r="D1" s="14" t="s">
        <v>0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2" t="s">
        <v>4</v>
      </c>
      <c r="M1" s="12" t="s">
        <v>5</v>
      </c>
      <c r="N1" s="13" t="s">
        <v>4</v>
      </c>
      <c r="O1" s="13" t="s">
        <v>5</v>
      </c>
    </row>
    <row r="2" spans="1:15" x14ac:dyDescent="0.3">
      <c r="A2" s="19" t="s">
        <v>55</v>
      </c>
      <c r="B2" s="4">
        <v>1</v>
      </c>
      <c r="C2" s="1" t="s">
        <v>8</v>
      </c>
      <c r="D2" s="10">
        <v>15999</v>
      </c>
      <c r="E2" s="10">
        <v>597110</v>
      </c>
      <c r="F2" s="10">
        <v>31796</v>
      </c>
      <c r="G2" s="10">
        <v>2190</v>
      </c>
      <c r="H2" s="10">
        <v>0.320076022806842</v>
      </c>
      <c r="I2" s="10">
        <v>0.87959755896420899</v>
      </c>
      <c r="J2" s="10">
        <v>0.48493574199806</v>
      </c>
      <c r="K2" s="10">
        <v>0.46307167673542998</v>
      </c>
      <c r="L2" s="7">
        <v>0.23403781360510101</v>
      </c>
      <c r="M2" s="9">
        <v>0.46209247347297799</v>
      </c>
      <c r="N2" s="7">
        <v>0.16605697095743799</v>
      </c>
      <c r="O2" s="9">
        <v>0.98328660179229199</v>
      </c>
    </row>
    <row r="3" spans="1:15" x14ac:dyDescent="0.3">
      <c r="A3" s="20"/>
      <c r="B3" s="4">
        <f>1+B2</f>
        <v>2</v>
      </c>
      <c r="C3" s="1" t="s">
        <v>9</v>
      </c>
      <c r="D3" s="10">
        <v>216390</v>
      </c>
      <c r="E3" s="10">
        <v>452578</v>
      </c>
      <c r="F3" s="10">
        <v>16059</v>
      </c>
      <c r="G3" s="10">
        <v>11730</v>
      </c>
      <c r="H3" s="10">
        <v>0.88619414445959699</v>
      </c>
      <c r="I3" s="10">
        <v>0.948579694897422</v>
      </c>
      <c r="J3" s="10">
        <v>0.93966376373572602</v>
      </c>
      <c r="K3" s="10">
        <v>0.90988137234715305</v>
      </c>
      <c r="L3" s="7">
        <v>0.86870253873246595</v>
      </c>
      <c r="M3" s="9">
        <v>0.935248991758723</v>
      </c>
      <c r="N3" s="7">
        <v>0.87363712944763094</v>
      </c>
      <c r="O3" s="9">
        <v>0.95471243205330503</v>
      </c>
    </row>
    <row r="4" spans="1:15" x14ac:dyDescent="0.3">
      <c r="A4" s="20"/>
      <c r="B4" s="4">
        <f t="shared" ref="B4:B19" si="0">1+B3</f>
        <v>3</v>
      </c>
      <c r="C4" s="1" t="s">
        <v>10</v>
      </c>
      <c r="D4" s="10"/>
      <c r="E4" s="10"/>
      <c r="F4" s="10"/>
      <c r="G4" s="10"/>
      <c r="H4" s="10"/>
      <c r="I4" s="10"/>
      <c r="J4" s="10"/>
      <c r="K4" s="10"/>
      <c r="L4" s="7"/>
      <c r="M4" s="9"/>
      <c r="N4" s="7"/>
      <c r="O4" s="9"/>
    </row>
    <row r="5" spans="1:15" x14ac:dyDescent="0.3">
      <c r="A5" s="20"/>
      <c r="B5" s="4">
        <f t="shared" si="0"/>
        <v>4</v>
      </c>
      <c r="C5" s="1" t="s">
        <v>11</v>
      </c>
      <c r="D5" s="10">
        <v>20298</v>
      </c>
      <c r="E5" s="10">
        <v>397710</v>
      </c>
      <c r="F5" s="10">
        <v>17791</v>
      </c>
      <c r="G5" s="10">
        <v>1299</v>
      </c>
      <c r="H5" s="10">
        <v>0.51533461968112104</v>
      </c>
      <c r="I5" s="10">
        <v>0.93985275732740603</v>
      </c>
      <c r="J5" s="10">
        <v>0.68015950139060999</v>
      </c>
      <c r="K5" s="10">
        <v>0.65863195331045199</v>
      </c>
      <c r="L5" s="7">
        <v>0.40251197360837798</v>
      </c>
      <c r="M5" s="9">
        <v>0.93781543732925798</v>
      </c>
      <c r="N5" s="7">
        <v>0.68318234228298402</v>
      </c>
      <c r="O5" s="9">
        <v>0.96022595730888505</v>
      </c>
    </row>
    <row r="6" spans="1:15" x14ac:dyDescent="0.3">
      <c r="A6" s="20"/>
      <c r="B6" s="4">
        <f t="shared" si="0"/>
        <v>5</v>
      </c>
      <c r="C6" s="1" t="s">
        <v>12</v>
      </c>
      <c r="D6" s="10">
        <v>124425</v>
      </c>
      <c r="E6" s="10">
        <v>346654</v>
      </c>
      <c r="F6" s="10">
        <v>34540</v>
      </c>
      <c r="G6" s="10">
        <v>8726</v>
      </c>
      <c r="H6" s="10">
        <v>0.74198973111258204</v>
      </c>
      <c r="I6" s="10">
        <v>0.93446538140907598</v>
      </c>
      <c r="J6" s="10">
        <v>0.85188760629339</v>
      </c>
      <c r="K6" s="10">
        <v>0.79378672972464104</v>
      </c>
      <c r="L6" s="7">
        <v>0.50416705157504504</v>
      </c>
      <c r="M6" s="9">
        <v>0.94273418900346195</v>
      </c>
      <c r="N6" s="7">
        <v>0.83058237728358497</v>
      </c>
      <c r="O6" s="9">
        <v>0.92704523435798403</v>
      </c>
    </row>
    <row r="7" spans="1:15" x14ac:dyDescent="0.3">
      <c r="A7" s="20"/>
      <c r="B7" s="4">
        <f t="shared" si="0"/>
        <v>6</v>
      </c>
      <c r="C7" s="1" t="s">
        <v>13</v>
      </c>
      <c r="D7" s="10">
        <v>113551</v>
      </c>
      <c r="E7" s="10">
        <v>481951</v>
      </c>
      <c r="F7" s="10">
        <v>18994</v>
      </c>
      <c r="G7" s="10">
        <v>51845</v>
      </c>
      <c r="H7" s="10">
        <v>0.615819729920277</v>
      </c>
      <c r="I7" s="10">
        <v>0.68654018235023795</v>
      </c>
      <c r="J7" s="10">
        <v>0.76223816124668897</v>
      </c>
      <c r="K7" s="10">
        <v>0.69484575646165103</v>
      </c>
      <c r="L7" s="7">
        <v>0.61149144782308196</v>
      </c>
      <c r="M7" s="9">
        <v>0.68476867638878802</v>
      </c>
      <c r="N7" s="7">
        <v>0.63085329570736204</v>
      </c>
      <c r="O7" s="9">
        <v>0.721764734334566</v>
      </c>
    </row>
    <row r="8" spans="1:15" x14ac:dyDescent="0.3">
      <c r="A8" s="20"/>
      <c r="B8" s="4">
        <f t="shared" si="0"/>
        <v>7</v>
      </c>
      <c r="C8" s="1" t="s">
        <v>14</v>
      </c>
      <c r="D8" s="10">
        <v>156302</v>
      </c>
      <c r="E8" s="10">
        <v>544601</v>
      </c>
      <c r="F8" s="10">
        <v>884</v>
      </c>
      <c r="G8" s="10">
        <v>7730</v>
      </c>
      <c r="H8" s="10">
        <v>0.94776734822576303</v>
      </c>
      <c r="I8" s="10">
        <v>0.95287504877097096</v>
      </c>
      <c r="J8" s="10">
        <v>0.973183320984502</v>
      </c>
      <c r="K8" s="10">
        <v>0.96534143937669803</v>
      </c>
      <c r="L8" s="7">
        <v>0.93440596986683699</v>
      </c>
      <c r="M8" s="9">
        <v>0.96336690401872804</v>
      </c>
      <c r="N8" s="7">
        <v>0.95298063766150398</v>
      </c>
      <c r="O8" s="9">
        <v>0.95956886461178303</v>
      </c>
    </row>
    <row r="9" spans="1:15" x14ac:dyDescent="0.3">
      <c r="A9" s="20"/>
      <c r="B9" s="4">
        <f t="shared" si="0"/>
        <v>8</v>
      </c>
      <c r="C9" s="1" t="s">
        <v>15</v>
      </c>
      <c r="D9" s="10">
        <v>204555</v>
      </c>
      <c r="E9" s="10">
        <v>501825</v>
      </c>
      <c r="F9" s="10">
        <v>324</v>
      </c>
      <c r="G9" s="10">
        <v>23525</v>
      </c>
      <c r="H9" s="10">
        <v>0.89558414038282996</v>
      </c>
      <c r="I9" s="10">
        <v>0.89685636618730202</v>
      </c>
      <c r="J9" s="10">
        <v>0.94491626227887604</v>
      </c>
      <c r="K9" s="10">
        <v>0.92180015587373498</v>
      </c>
      <c r="L9" s="7">
        <v>0.87981372255423995</v>
      </c>
      <c r="M9" s="9">
        <v>0.88879779024903505</v>
      </c>
      <c r="N9" s="7">
        <v>0.86965352710718102</v>
      </c>
      <c r="O9" s="9">
        <v>0.871045247281655</v>
      </c>
    </row>
    <row r="10" spans="1:15" x14ac:dyDescent="0.3">
      <c r="A10" s="20"/>
      <c r="B10" s="4">
        <f t="shared" si="0"/>
        <v>9</v>
      </c>
      <c r="C10" s="1" t="s">
        <v>16</v>
      </c>
      <c r="D10" s="10">
        <v>158890</v>
      </c>
      <c r="E10" s="10">
        <v>267567</v>
      </c>
      <c r="F10" s="10">
        <v>1584</v>
      </c>
      <c r="G10" s="10">
        <v>155717</v>
      </c>
      <c r="H10" s="10">
        <v>0.50251272174097295</v>
      </c>
      <c r="I10" s="10">
        <v>0.505042799429129</v>
      </c>
      <c r="J10" s="10">
        <v>0.66889646186650198</v>
      </c>
      <c r="K10" s="10">
        <v>0.47932752982153798</v>
      </c>
      <c r="L10" s="7">
        <v>0.59036484807409895</v>
      </c>
      <c r="M10" s="9">
        <v>0.59806043730749703</v>
      </c>
      <c r="N10" s="7">
        <v>0.56266969754372598</v>
      </c>
      <c r="O10" s="9">
        <v>0.56648453467341797</v>
      </c>
    </row>
    <row r="11" spans="1:15" x14ac:dyDescent="0.3">
      <c r="A11" s="20"/>
      <c r="B11" s="4">
        <f t="shared" si="0"/>
        <v>10</v>
      </c>
      <c r="C11" s="1" t="s">
        <v>17</v>
      </c>
      <c r="D11" s="10">
        <v>54679</v>
      </c>
      <c r="E11" s="10">
        <v>581778</v>
      </c>
      <c r="F11" s="10">
        <v>56743</v>
      </c>
      <c r="G11" s="10">
        <v>268</v>
      </c>
      <c r="H11" s="10">
        <v>0.48956039036619198</v>
      </c>
      <c r="I11" s="10">
        <v>0.99512257266092696</v>
      </c>
      <c r="J11" s="10">
        <v>0.65732197705101303</v>
      </c>
      <c r="K11" s="10">
        <v>0.61663467129710303</v>
      </c>
      <c r="L11" s="7">
        <v>0.53557802588769499</v>
      </c>
      <c r="M11" s="9">
        <v>0.83285711685806296</v>
      </c>
      <c r="N11" s="7">
        <v>0.43053178628063599</v>
      </c>
      <c r="O11" s="9">
        <v>0.998089067647005</v>
      </c>
    </row>
    <row r="12" spans="1:15" x14ac:dyDescent="0.3">
      <c r="A12" s="20"/>
      <c r="B12" s="4">
        <f t="shared" si="0"/>
        <v>11</v>
      </c>
      <c r="C12" s="1" t="s">
        <v>18</v>
      </c>
      <c r="D12" s="10">
        <v>21488</v>
      </c>
      <c r="E12" s="10">
        <v>361783</v>
      </c>
      <c r="F12" s="10">
        <v>14065</v>
      </c>
      <c r="G12" s="10">
        <v>1918</v>
      </c>
      <c r="H12" s="10">
        <v>0.57345680659710097</v>
      </c>
      <c r="I12" s="10">
        <v>0.91805519952148995</v>
      </c>
      <c r="J12" s="10">
        <v>0.72891331264098702</v>
      </c>
      <c r="K12" s="10">
        <v>0.70828862250317204</v>
      </c>
      <c r="L12" s="7">
        <v>0.44818101509797598</v>
      </c>
      <c r="M12" s="9">
        <v>0.95372981286849501</v>
      </c>
      <c r="N12" s="7">
        <v>0.54526299360074904</v>
      </c>
      <c r="O12" s="9">
        <v>0.89553960522942799</v>
      </c>
    </row>
    <row r="13" spans="1:15" x14ac:dyDescent="0.3">
      <c r="A13" s="20"/>
      <c r="B13" s="4">
        <f t="shared" si="0"/>
        <v>12</v>
      </c>
      <c r="C13" s="1" t="s">
        <v>19</v>
      </c>
      <c r="D13" s="10">
        <v>83079</v>
      </c>
      <c r="E13" s="10">
        <v>474695</v>
      </c>
      <c r="F13" s="10">
        <v>7193</v>
      </c>
      <c r="G13" s="10">
        <v>4636</v>
      </c>
      <c r="H13" s="10">
        <v>0.87536350992540102</v>
      </c>
      <c r="I13" s="10">
        <v>0.94714701020350001</v>
      </c>
      <c r="J13" s="10">
        <v>0.93354009000657301</v>
      </c>
      <c r="K13" s="10">
        <v>0.92123685142981404</v>
      </c>
      <c r="L13" s="7">
        <v>0.86644190323194303</v>
      </c>
      <c r="M13" s="9">
        <v>0.93462919683064405</v>
      </c>
      <c r="N13" s="7">
        <v>0.85995558080677603</v>
      </c>
      <c r="O13" s="9">
        <v>0.94907370461152596</v>
      </c>
    </row>
    <row r="14" spans="1:15" x14ac:dyDescent="0.3">
      <c r="A14" s="20"/>
      <c r="B14" s="4">
        <f t="shared" si="0"/>
        <v>13</v>
      </c>
      <c r="C14" s="1" t="s">
        <v>20</v>
      </c>
      <c r="D14" s="10">
        <v>176089</v>
      </c>
      <c r="E14" s="10">
        <v>501842</v>
      </c>
      <c r="F14" s="10">
        <v>3350</v>
      </c>
      <c r="G14" s="10">
        <v>24626</v>
      </c>
      <c r="H14" s="10">
        <v>0.86290642687379004</v>
      </c>
      <c r="I14" s="10">
        <v>0.87730862167750201</v>
      </c>
      <c r="J14" s="10">
        <v>0.92640877118220499</v>
      </c>
      <c r="K14" s="10">
        <v>0.89940741469669605</v>
      </c>
      <c r="L14" s="7">
        <v>0.78659608538311199</v>
      </c>
      <c r="M14" s="9">
        <v>0.80028896694317797</v>
      </c>
      <c r="N14" s="7">
        <v>0.86470947713217094</v>
      </c>
      <c r="O14" s="9">
        <v>0.88120967541040696</v>
      </c>
    </row>
    <row r="15" spans="1:15" x14ac:dyDescent="0.3">
      <c r="A15" s="20"/>
      <c r="B15" s="4">
        <f t="shared" si="0"/>
        <v>14</v>
      </c>
      <c r="C15" s="1" t="s">
        <v>21</v>
      </c>
      <c r="D15" s="10">
        <v>322389</v>
      </c>
      <c r="E15" s="10">
        <v>324428</v>
      </c>
      <c r="F15" s="10">
        <v>6604</v>
      </c>
      <c r="G15" s="10">
        <v>29192</v>
      </c>
      <c r="H15" s="10">
        <v>0.90006281670086596</v>
      </c>
      <c r="I15" s="10">
        <v>0.91696934703524902</v>
      </c>
      <c r="J15" s="10">
        <v>0.94740322139840705</v>
      </c>
      <c r="K15" s="10">
        <v>0.89523444283184195</v>
      </c>
      <c r="L15" s="7">
        <v>0.76768680232868602</v>
      </c>
      <c r="M15" s="9">
        <v>0.81764372932553198</v>
      </c>
      <c r="N15" s="7">
        <v>0.91987534548547001</v>
      </c>
      <c r="O15" s="9">
        <v>0.93527807247831896</v>
      </c>
    </row>
    <row r="16" spans="1:15" x14ac:dyDescent="0.3">
      <c r="A16" s="20"/>
      <c r="B16" s="4">
        <f t="shared" si="0"/>
        <v>15</v>
      </c>
      <c r="C16" s="1" t="s">
        <v>22</v>
      </c>
      <c r="D16" s="10">
        <v>106698</v>
      </c>
      <c r="E16" s="10">
        <v>557079</v>
      </c>
      <c r="F16" s="10">
        <v>11131</v>
      </c>
      <c r="G16" s="10">
        <v>3648</v>
      </c>
      <c r="H16" s="10">
        <v>0.87833910946104998</v>
      </c>
      <c r="I16" s="10">
        <v>0.96694035125876698</v>
      </c>
      <c r="J16" s="10">
        <v>0.93522953873123704</v>
      </c>
      <c r="K16" s="10">
        <v>0.92215538442408895</v>
      </c>
      <c r="L16" s="7">
        <v>0.73542832909245104</v>
      </c>
      <c r="M16" s="9">
        <v>0.78577383865296402</v>
      </c>
      <c r="N16" s="7">
        <v>0.85778310365488297</v>
      </c>
      <c r="O16" s="9">
        <v>0.97305747376434104</v>
      </c>
    </row>
    <row r="17" spans="1:15" x14ac:dyDescent="0.3">
      <c r="A17" s="20"/>
      <c r="B17" s="4">
        <f t="shared" si="0"/>
        <v>16</v>
      </c>
      <c r="C17" s="1" t="s">
        <v>23</v>
      </c>
      <c r="D17" s="10">
        <v>117596</v>
      </c>
      <c r="E17" s="10">
        <v>486919</v>
      </c>
      <c r="F17" s="10">
        <v>11934</v>
      </c>
      <c r="G17" s="10">
        <v>1584</v>
      </c>
      <c r="H17" s="10">
        <v>0.89689888188904299</v>
      </c>
      <c r="I17" s="10">
        <v>0.98670917939251501</v>
      </c>
      <c r="J17" s="10">
        <v>0.94564754131317597</v>
      </c>
      <c r="K17" s="10">
        <v>0.93198610049050001</v>
      </c>
      <c r="L17" s="7">
        <v>0.58240310505597104</v>
      </c>
      <c r="M17" s="9">
        <v>0.61944957207585105</v>
      </c>
      <c r="N17" s="7">
        <v>0.88122026392172104</v>
      </c>
      <c r="O17" s="9">
        <v>0.98840409464675205</v>
      </c>
    </row>
    <row r="18" spans="1:15" x14ac:dyDescent="0.3">
      <c r="A18" s="20"/>
      <c r="B18" s="4">
        <f t="shared" si="0"/>
        <v>17</v>
      </c>
      <c r="C18" s="1" t="s">
        <v>24</v>
      </c>
      <c r="D18" s="10">
        <v>141406</v>
      </c>
      <c r="E18" s="10">
        <v>387512</v>
      </c>
      <c r="F18" s="10">
        <v>2183</v>
      </c>
      <c r="G18" s="10">
        <v>25334</v>
      </c>
      <c r="H18" s="10">
        <v>0.83710329558437802</v>
      </c>
      <c r="I18" s="10">
        <v>0.84806285234496803</v>
      </c>
      <c r="J18" s="10">
        <v>0.91132958892014604</v>
      </c>
      <c r="K18" s="10">
        <v>0.87730628562481205</v>
      </c>
      <c r="L18" s="7">
        <v>0.75329734669979698</v>
      </c>
      <c r="M18" s="9">
        <v>0.79090800047978804</v>
      </c>
      <c r="N18" s="7">
        <v>0.90733157471109005</v>
      </c>
      <c r="O18" s="9">
        <v>0.92620846827395897</v>
      </c>
    </row>
    <row r="19" spans="1:15" x14ac:dyDescent="0.3">
      <c r="A19" s="20"/>
      <c r="B19" s="4">
        <f t="shared" si="0"/>
        <v>18</v>
      </c>
      <c r="C19" s="1" t="s">
        <v>25</v>
      </c>
      <c r="D19" s="10">
        <v>54910</v>
      </c>
      <c r="E19" s="10">
        <v>553926</v>
      </c>
      <c r="F19" s="10">
        <v>15153</v>
      </c>
      <c r="G19" s="10">
        <v>887</v>
      </c>
      <c r="H19" s="10">
        <v>0.77392529950669398</v>
      </c>
      <c r="I19" s="10">
        <v>0.98410308797963997</v>
      </c>
      <c r="J19" s="10">
        <v>0.87255680915302702</v>
      </c>
      <c r="K19" s="10">
        <v>0.85848857794881495</v>
      </c>
      <c r="L19" s="7">
        <v>0.55422677105366003</v>
      </c>
      <c r="M19" s="9">
        <v>0.99087764575156301</v>
      </c>
      <c r="N19" s="7">
        <v>0.83710715638015898</v>
      </c>
      <c r="O19" s="9">
        <v>0.99055504776242398</v>
      </c>
    </row>
    <row r="20" spans="1:15" x14ac:dyDescent="0.3">
      <c r="D20" s="10"/>
      <c r="E20" s="10"/>
      <c r="F20" s="10"/>
      <c r="G20" s="10"/>
      <c r="H20" s="10">
        <f>AVERAGE(H2:H19)</f>
        <v>0.73605264677849991</v>
      </c>
      <c r="I20" s="10">
        <f>AVERAGE(I2:I19)</f>
        <v>0.89318988302413593</v>
      </c>
      <c r="J20" s="10"/>
      <c r="K20" s="10"/>
      <c r="L20">
        <f>AVERAGE(L2:L19)</f>
        <v>0.65031380880414935</v>
      </c>
      <c r="M20">
        <f>AVERAGE(M2:M19)</f>
        <v>0.81994369290085589</v>
      </c>
      <c r="N20" s="10">
        <f>AVERAGE(N2:N19)</f>
        <v>0.7454937211744157</v>
      </c>
      <c r="O20" s="10">
        <f>AVERAGE(O2:O19)</f>
        <v>0.91067934213165003</v>
      </c>
    </row>
    <row r="21" spans="1:15" x14ac:dyDescent="0.3">
      <c r="D21" s="10"/>
      <c r="E21" s="10"/>
      <c r="F21" s="10"/>
      <c r="G21" s="10"/>
      <c r="H21" s="24" t="s">
        <v>61</v>
      </c>
      <c r="I21" s="24"/>
      <c r="J21" s="10"/>
      <c r="K21" s="10"/>
      <c r="L21" s="23" t="s">
        <v>53</v>
      </c>
      <c r="M21" s="23"/>
      <c r="N21" s="25" t="s">
        <v>63</v>
      </c>
      <c r="O21" s="25"/>
    </row>
    <row r="22" spans="1:15" x14ac:dyDescent="0.3">
      <c r="A22" s="22" t="s">
        <v>51</v>
      </c>
      <c r="B22" s="2">
        <f>1+B19</f>
        <v>19</v>
      </c>
      <c r="C22" s="1" t="s">
        <v>26</v>
      </c>
      <c r="D22" s="10">
        <v>69396</v>
      </c>
      <c r="E22" s="10">
        <v>360704</v>
      </c>
      <c r="F22" s="10">
        <v>2311</v>
      </c>
      <c r="G22" s="10">
        <v>1817</v>
      </c>
      <c r="H22" s="7">
        <v>0.943855067732985</v>
      </c>
      <c r="I22" s="9">
        <v>0.97448499571707403</v>
      </c>
      <c r="J22" s="10">
        <v>0.97111670864819399</v>
      </c>
      <c r="K22" s="10">
        <v>0.96542720327985299</v>
      </c>
      <c r="L22" s="7">
        <v>0.93888115479746403</v>
      </c>
      <c r="M22" s="9">
        <v>0.97545391993034902</v>
      </c>
      <c r="N22" s="7">
        <v>0.90256899488926701</v>
      </c>
      <c r="O22" s="9">
        <v>0.92997065142600299</v>
      </c>
    </row>
    <row r="23" spans="1:15" x14ac:dyDescent="0.3">
      <c r="A23" s="22"/>
      <c r="B23" s="2">
        <f t="shared" ref="B23:B44" si="1">1+B22</f>
        <v>20</v>
      </c>
      <c r="C23" s="1" t="s">
        <v>27</v>
      </c>
      <c r="D23" s="10">
        <v>162724</v>
      </c>
      <c r="E23" s="10">
        <v>451773</v>
      </c>
      <c r="F23" s="10">
        <v>7470</v>
      </c>
      <c r="G23" s="10">
        <v>8485</v>
      </c>
      <c r="H23" s="7">
        <v>0.91070579083160297</v>
      </c>
      <c r="I23" s="9">
        <v>0.95044068944973603</v>
      </c>
      <c r="J23" s="10">
        <v>0.95326637434351702</v>
      </c>
      <c r="K23" s="10">
        <v>0.93591478188731103</v>
      </c>
      <c r="L23" s="7">
        <v>0.837783673784807</v>
      </c>
      <c r="M23" s="9">
        <v>0.94982156311876098</v>
      </c>
      <c r="N23" s="7">
        <v>0.88649598566555199</v>
      </c>
      <c r="O23" s="9">
        <v>0.90159979907598298</v>
      </c>
    </row>
    <row r="24" spans="1:15" x14ac:dyDescent="0.3">
      <c r="A24" s="22"/>
      <c r="B24" s="2">
        <f t="shared" si="1"/>
        <v>21</v>
      </c>
      <c r="C24" s="1" t="s">
        <v>28</v>
      </c>
      <c r="D24" s="10">
        <v>152008</v>
      </c>
      <c r="E24" s="10">
        <v>382781</v>
      </c>
      <c r="F24" s="10">
        <v>3172</v>
      </c>
      <c r="G24" s="10">
        <v>414</v>
      </c>
      <c r="H24" s="7">
        <v>0.97695283879841099</v>
      </c>
      <c r="I24" s="9">
        <v>0.99728385666111197</v>
      </c>
      <c r="J24" s="10">
        <v>0.98834207840000998</v>
      </c>
      <c r="K24" s="10">
        <v>0.98368030142490104</v>
      </c>
      <c r="L24" s="7">
        <v>0.96913092262967304</v>
      </c>
      <c r="M24" s="9">
        <v>0.99732322105732696</v>
      </c>
      <c r="N24" s="7">
        <v>0.98717407539695401</v>
      </c>
      <c r="O24" s="9">
        <v>0.99729697812651696</v>
      </c>
    </row>
    <row r="25" spans="1:15" x14ac:dyDescent="0.3">
      <c r="A25" s="22"/>
      <c r="B25" s="2">
        <f t="shared" si="1"/>
        <v>22</v>
      </c>
      <c r="C25" s="1" t="s">
        <v>29</v>
      </c>
      <c r="D25" s="10">
        <v>187735</v>
      </c>
      <c r="E25" s="10">
        <v>628171</v>
      </c>
      <c r="F25" s="10">
        <v>3363</v>
      </c>
      <c r="G25" s="10">
        <v>9311</v>
      </c>
      <c r="H25" s="7">
        <v>0.93675932717592503</v>
      </c>
      <c r="I25" s="9">
        <v>0.95274707428722205</v>
      </c>
      <c r="J25" s="10">
        <v>0.96734717012242799</v>
      </c>
      <c r="K25" s="10">
        <v>0.95736296684783595</v>
      </c>
      <c r="L25" s="7">
        <v>0.90552790437355002</v>
      </c>
      <c r="M25" s="9">
        <v>0.91961775422997605</v>
      </c>
      <c r="N25" s="7">
        <v>0.93708219225741596</v>
      </c>
      <c r="O25" s="9">
        <v>0.95683241476609504</v>
      </c>
    </row>
    <row r="26" spans="1:15" x14ac:dyDescent="0.3">
      <c r="A26" s="22"/>
      <c r="B26" s="2">
        <f t="shared" si="1"/>
        <v>23</v>
      </c>
      <c r="C26" s="1" t="s">
        <v>30</v>
      </c>
      <c r="D26" s="10">
        <v>207739</v>
      </c>
      <c r="E26" s="10">
        <v>490948</v>
      </c>
      <c r="F26" s="10">
        <v>7236</v>
      </c>
      <c r="G26" s="10">
        <v>2275</v>
      </c>
      <c r="H26" s="7">
        <v>0.95622094361334797</v>
      </c>
      <c r="I26" s="9">
        <v>0.98916738884074396</v>
      </c>
      <c r="J26" s="10">
        <v>0.97762059723898698</v>
      </c>
      <c r="K26" s="10">
        <v>0.96802902835724802</v>
      </c>
      <c r="L26" s="7">
        <v>0.95556291573514396</v>
      </c>
      <c r="M26" s="9">
        <v>0.989105488205548</v>
      </c>
      <c r="N26" s="7">
        <v>0.94969307193369201</v>
      </c>
      <c r="O26" s="9">
        <v>0.98860075994933605</v>
      </c>
    </row>
    <row r="27" spans="1:15" x14ac:dyDescent="0.3">
      <c r="A27" s="22"/>
      <c r="B27" s="2">
        <f t="shared" si="1"/>
        <v>24</v>
      </c>
      <c r="C27" s="1" t="s">
        <v>31</v>
      </c>
      <c r="D27" s="10">
        <v>175547</v>
      </c>
      <c r="E27" s="10">
        <v>277543</v>
      </c>
      <c r="F27" s="10">
        <v>35208</v>
      </c>
      <c r="G27" s="10">
        <v>1199</v>
      </c>
      <c r="H27" s="7">
        <v>0.82823159742208197</v>
      </c>
      <c r="I27" s="9">
        <v>0.99321625383318402</v>
      </c>
      <c r="J27" s="10">
        <v>0.90604669407304705</v>
      </c>
      <c r="K27" s="10">
        <v>0.84527643733117497</v>
      </c>
      <c r="L27" s="7">
        <v>0.787991286194063</v>
      </c>
      <c r="M27" s="9">
        <v>0.98234754959093795</v>
      </c>
      <c r="N27" s="7">
        <v>0.887912065728647</v>
      </c>
      <c r="O27" s="9">
        <v>0.99542846797098605</v>
      </c>
    </row>
    <row r="28" spans="1:15" x14ac:dyDescent="0.3">
      <c r="A28" s="22"/>
      <c r="B28" s="2">
        <f t="shared" si="1"/>
        <v>25</v>
      </c>
      <c r="C28" s="1" t="s">
        <v>32</v>
      </c>
      <c r="D28" s="10">
        <v>241502</v>
      </c>
      <c r="E28" s="10">
        <v>414348</v>
      </c>
      <c r="F28" s="10">
        <v>1972</v>
      </c>
      <c r="G28" s="10">
        <v>2663</v>
      </c>
      <c r="H28" s="7">
        <v>0.98116902375506299</v>
      </c>
      <c r="I28" s="9">
        <v>0.98909344091085905</v>
      </c>
      <c r="J28" s="10">
        <v>0.99049501783081295</v>
      </c>
      <c r="K28" s="10">
        <v>0.98493301996096305</v>
      </c>
      <c r="L28" s="7">
        <v>0.98288141845466503</v>
      </c>
      <c r="M28" s="9">
        <v>0.993049781909774</v>
      </c>
      <c r="N28" s="7">
        <v>0.116147458828706</v>
      </c>
      <c r="O28" s="9">
        <v>0.116753015378944</v>
      </c>
    </row>
    <row r="29" spans="1:15" x14ac:dyDescent="0.3">
      <c r="A29" s="22"/>
      <c r="B29" s="4">
        <f t="shared" si="1"/>
        <v>26</v>
      </c>
      <c r="C29" s="5" t="s">
        <v>33</v>
      </c>
      <c r="D29" s="10">
        <v>144946</v>
      </c>
      <c r="E29" s="10">
        <v>381778</v>
      </c>
      <c r="F29" s="10">
        <v>7359</v>
      </c>
      <c r="G29" s="10">
        <v>3780</v>
      </c>
      <c r="H29" s="7">
        <v>0.92863503860076202</v>
      </c>
      <c r="I29" s="9">
        <v>0.97458413458305804</v>
      </c>
      <c r="J29" s="10">
        <v>0.96299716640478805</v>
      </c>
      <c r="K29" s="10">
        <v>0.94862142656108495</v>
      </c>
      <c r="L29" s="7">
        <v>0.96120223622794698</v>
      </c>
      <c r="M29" s="9">
        <v>0.98031951373667003</v>
      </c>
      <c r="N29" s="7">
        <v>2.52895218771821E-2</v>
      </c>
      <c r="O29" s="9">
        <v>2.5812568078210901E-2</v>
      </c>
    </row>
    <row r="30" spans="1:15" x14ac:dyDescent="0.3">
      <c r="A30" s="22"/>
      <c r="B30" s="4">
        <f t="shared" si="1"/>
        <v>27</v>
      </c>
      <c r="C30" s="5" t="s">
        <v>34</v>
      </c>
      <c r="D30" s="10">
        <v>99088</v>
      </c>
      <c r="E30" s="10">
        <v>556109</v>
      </c>
      <c r="F30" s="10">
        <v>1841</v>
      </c>
      <c r="G30" s="10">
        <v>1062</v>
      </c>
      <c r="H30" s="7">
        <v>0.97153670421899896</v>
      </c>
      <c r="I30" s="9">
        <v>0.98939590614078798</v>
      </c>
      <c r="J30" s="10">
        <v>0.98556288821806304</v>
      </c>
      <c r="K30" s="10">
        <v>0.98295962940268</v>
      </c>
      <c r="L30" s="7">
        <v>0.97633567480764105</v>
      </c>
      <c r="M30" s="9">
        <v>0.98952571143284995</v>
      </c>
      <c r="N30" s="7">
        <v>0.55002156101767996</v>
      </c>
      <c r="O30" s="9">
        <v>0.58585122316525196</v>
      </c>
    </row>
    <row r="31" spans="1:15" x14ac:dyDescent="0.3">
      <c r="A31" s="22"/>
      <c r="B31" s="4">
        <f t="shared" si="1"/>
        <v>28</v>
      </c>
      <c r="C31" s="5" t="s">
        <v>35</v>
      </c>
      <c r="D31" s="10">
        <v>200795</v>
      </c>
      <c r="E31" s="10">
        <v>250694</v>
      </c>
      <c r="F31" s="10">
        <v>907</v>
      </c>
      <c r="G31" s="10">
        <v>5304</v>
      </c>
      <c r="H31" s="7">
        <v>0.96999603876216101</v>
      </c>
      <c r="I31" s="9">
        <v>0.97426479507421104</v>
      </c>
      <c r="J31" s="10">
        <v>0.98476953219830199</v>
      </c>
      <c r="K31" s="10">
        <v>0.97253606059856601</v>
      </c>
      <c r="L31" s="7">
        <v>0.75669039782311298</v>
      </c>
      <c r="M31" s="9">
        <v>0.75963493272650495</v>
      </c>
      <c r="N31" s="7">
        <v>0.85758891026322603</v>
      </c>
      <c r="O31" s="9">
        <v>0.86089694758344204</v>
      </c>
    </row>
    <row r="32" spans="1:15" x14ac:dyDescent="0.3">
      <c r="A32" s="22"/>
      <c r="B32" s="4">
        <f t="shared" si="1"/>
        <v>29</v>
      </c>
      <c r="C32" s="5" t="s">
        <v>36</v>
      </c>
      <c r="D32" s="10">
        <v>28657</v>
      </c>
      <c r="E32" s="10">
        <v>587490</v>
      </c>
      <c r="F32" s="10">
        <v>986</v>
      </c>
      <c r="G32" s="10">
        <v>719</v>
      </c>
      <c r="H32" s="7">
        <v>0.94384427903300105</v>
      </c>
      <c r="I32" s="9">
        <v>0.97552423747276595</v>
      </c>
      <c r="J32" s="10">
        <v>0.97111099815313695</v>
      </c>
      <c r="K32" s="10">
        <v>0.96966204337355799</v>
      </c>
      <c r="L32" s="7">
        <v>0.93032641332773702</v>
      </c>
      <c r="M32" s="9">
        <v>0.98090277777777701</v>
      </c>
      <c r="N32" s="7">
        <v>0.87016500768254301</v>
      </c>
      <c r="O32" s="9">
        <v>0.88681236383442197</v>
      </c>
    </row>
    <row r="33" spans="1:15" x14ac:dyDescent="0.3">
      <c r="A33" s="22"/>
      <c r="B33" s="4">
        <f t="shared" si="1"/>
        <v>30</v>
      </c>
      <c r="C33" s="5" t="s">
        <v>37</v>
      </c>
      <c r="D33" s="10">
        <v>192219</v>
      </c>
      <c r="E33" s="10">
        <v>276107</v>
      </c>
      <c r="F33" s="10">
        <v>4535</v>
      </c>
      <c r="G33" s="10">
        <v>11900</v>
      </c>
      <c r="H33" s="7">
        <v>0.92123323780037703</v>
      </c>
      <c r="I33" s="9">
        <v>0.94170067460647899</v>
      </c>
      <c r="J33" s="10">
        <v>0.95900197818261601</v>
      </c>
      <c r="K33" s="10">
        <v>0.93011677147567096</v>
      </c>
      <c r="L33" s="7">
        <v>0.91504816193467498</v>
      </c>
      <c r="M33" s="9">
        <v>0.94057388092240302</v>
      </c>
      <c r="N33" s="7">
        <v>0.92837050042194902</v>
      </c>
      <c r="O33" s="9">
        <v>0.93777159402113397</v>
      </c>
    </row>
    <row r="34" spans="1:15" x14ac:dyDescent="0.3">
      <c r="A34" s="22"/>
      <c r="B34" s="4">
        <f t="shared" si="1"/>
        <v>31</v>
      </c>
      <c r="C34" s="5" t="s">
        <v>38</v>
      </c>
      <c r="D34" s="10">
        <v>27928</v>
      </c>
      <c r="E34" s="10">
        <v>247171</v>
      </c>
      <c r="F34" s="10">
        <v>8248</v>
      </c>
      <c r="G34" s="10">
        <v>72</v>
      </c>
      <c r="H34" s="7">
        <v>0.77047009490178697</v>
      </c>
      <c r="I34" s="9">
        <v>0.997428571428571</v>
      </c>
      <c r="J34" s="10">
        <v>0.87035651957117899</v>
      </c>
      <c r="K34" s="10">
        <v>0.85410696229359795</v>
      </c>
      <c r="L34" s="7">
        <v>0.82018103395905395</v>
      </c>
      <c r="M34" s="9">
        <v>0.96435714285714202</v>
      </c>
      <c r="N34" s="7">
        <v>0.759872455236693</v>
      </c>
      <c r="O34" s="9">
        <v>0.99578571428571405</v>
      </c>
    </row>
    <row r="35" spans="1:15" x14ac:dyDescent="0.3">
      <c r="A35" s="22"/>
      <c r="B35" s="4">
        <f t="shared" si="1"/>
        <v>32</v>
      </c>
      <c r="C35" s="5" t="s">
        <v>39</v>
      </c>
      <c r="D35" s="10">
        <v>112938</v>
      </c>
      <c r="E35" s="10">
        <v>642084</v>
      </c>
      <c r="F35" s="10">
        <v>18073</v>
      </c>
      <c r="G35" s="10">
        <v>1313</v>
      </c>
      <c r="H35" s="7">
        <v>0.85349596445089304</v>
      </c>
      <c r="I35" s="9">
        <v>0.98850775923186596</v>
      </c>
      <c r="J35" s="10">
        <v>0.92095799593903604</v>
      </c>
      <c r="K35" s="10">
        <v>0.90616878469065798</v>
      </c>
      <c r="L35" s="7">
        <v>0.78944755591914295</v>
      </c>
      <c r="M35" s="9">
        <v>0.98822767415602397</v>
      </c>
      <c r="N35" s="7">
        <v>0.96425340138957605</v>
      </c>
      <c r="O35" s="9">
        <v>0.98878784430770805</v>
      </c>
    </row>
    <row r="36" spans="1:15" x14ac:dyDescent="0.3">
      <c r="A36" s="22"/>
      <c r="B36" s="4">
        <f t="shared" si="1"/>
        <v>33</v>
      </c>
      <c r="C36" s="5" t="s">
        <v>40</v>
      </c>
      <c r="D36" s="10">
        <v>105241</v>
      </c>
      <c r="E36" s="10">
        <v>332551</v>
      </c>
      <c r="F36" s="10">
        <v>3741</v>
      </c>
      <c r="G36" s="10">
        <v>1947</v>
      </c>
      <c r="H36" s="7">
        <v>0.948723958568093</v>
      </c>
      <c r="I36" s="9">
        <v>0.98183565324476596</v>
      </c>
      <c r="J36" s="10">
        <v>0.97368737567654995</v>
      </c>
      <c r="K36" s="10">
        <v>0.96520859392678005</v>
      </c>
      <c r="L36" s="7">
        <v>0.927373517647884</v>
      </c>
      <c r="M36" s="9">
        <v>0.98637907228421096</v>
      </c>
      <c r="N36" s="7">
        <v>0.96808618574577698</v>
      </c>
      <c r="O36" s="9">
        <v>0.97918610292196795</v>
      </c>
    </row>
    <row r="37" spans="1:15" x14ac:dyDescent="0.3">
      <c r="A37" s="22"/>
      <c r="B37" s="4">
        <f t="shared" si="1"/>
        <v>34</v>
      </c>
      <c r="C37" s="5" t="s">
        <v>41</v>
      </c>
      <c r="D37" s="10">
        <v>49211</v>
      </c>
      <c r="E37" s="10">
        <v>172767</v>
      </c>
      <c r="F37" s="10">
        <v>50486</v>
      </c>
      <c r="G37" s="10">
        <v>86469</v>
      </c>
      <c r="H37" s="7">
        <v>0.26433935305050299</v>
      </c>
      <c r="I37" s="9">
        <v>0.36269899764150898</v>
      </c>
      <c r="J37" s="10">
        <v>0.41814620799823199</v>
      </c>
      <c r="K37" s="10">
        <v>0.14405382742456599</v>
      </c>
      <c r="L37" s="7">
        <v>0.26098899642052198</v>
      </c>
      <c r="M37" s="9">
        <v>0.362735849056603</v>
      </c>
      <c r="N37" s="7">
        <v>0.26729023008124497</v>
      </c>
      <c r="O37" s="9">
        <v>0.375110554245283</v>
      </c>
    </row>
    <row r="38" spans="1:15" x14ac:dyDescent="0.3">
      <c r="A38" s="22"/>
      <c r="B38" s="4">
        <f t="shared" si="1"/>
        <v>35</v>
      </c>
      <c r="C38" s="5" t="s">
        <v>42</v>
      </c>
      <c r="H38" s="7"/>
      <c r="I38" s="9"/>
      <c r="L38" s="7"/>
      <c r="M38" s="9"/>
      <c r="N38" s="7"/>
      <c r="O38" s="9"/>
    </row>
    <row r="39" spans="1:15" x14ac:dyDescent="0.3">
      <c r="A39" s="22"/>
      <c r="B39" s="4">
        <f t="shared" si="1"/>
        <v>36</v>
      </c>
      <c r="C39" s="5" t="s">
        <v>43</v>
      </c>
      <c r="D39" s="10">
        <v>28310</v>
      </c>
      <c r="E39" s="10">
        <v>595268</v>
      </c>
      <c r="F39" s="10">
        <v>2698</v>
      </c>
      <c r="G39" s="10">
        <v>53</v>
      </c>
      <c r="H39" s="7">
        <v>0.91143234280930996</v>
      </c>
      <c r="I39" s="9">
        <v>0.99813136833198102</v>
      </c>
      <c r="J39" s="10">
        <v>0.953664246854524</v>
      </c>
      <c r="K39" s="10">
        <v>0.95136365286445002</v>
      </c>
      <c r="L39" s="7">
        <v>0.88419238602537897</v>
      </c>
      <c r="M39" s="9">
        <v>0.99492296301519501</v>
      </c>
      <c r="N39" s="7">
        <v>0.93242442205097797</v>
      </c>
      <c r="O39" s="9">
        <v>0.99827239713711502</v>
      </c>
    </row>
    <row r="40" spans="1:15" x14ac:dyDescent="0.3">
      <c r="A40" s="22"/>
      <c r="B40" s="4">
        <f t="shared" si="1"/>
        <v>37</v>
      </c>
      <c r="C40" s="5" t="s">
        <v>44</v>
      </c>
      <c r="D40" s="10">
        <v>64593</v>
      </c>
      <c r="E40" s="10">
        <v>365724</v>
      </c>
      <c r="F40" s="10">
        <v>4621</v>
      </c>
      <c r="G40" s="10">
        <v>4912</v>
      </c>
      <c r="H40" s="7">
        <v>0.87139465234870295</v>
      </c>
      <c r="I40" s="9">
        <v>0.929328825264369</v>
      </c>
      <c r="J40" s="10">
        <v>0.931278339665078</v>
      </c>
      <c r="K40" s="10">
        <v>0.91841302976476702</v>
      </c>
      <c r="L40" s="7">
        <v>0.89099114018381997</v>
      </c>
      <c r="M40" s="9">
        <v>0.92889720164016898</v>
      </c>
      <c r="N40" s="7">
        <v>0.89095374087717105</v>
      </c>
      <c r="O40" s="9">
        <v>0.929127400906409</v>
      </c>
    </row>
    <row r="41" spans="1:15" x14ac:dyDescent="0.3">
      <c r="A41" s="22"/>
      <c r="B41" s="4">
        <f t="shared" si="1"/>
        <v>38</v>
      </c>
      <c r="C41" s="5" t="s">
        <v>45</v>
      </c>
      <c r="D41" s="10">
        <v>70756</v>
      </c>
      <c r="E41" s="10">
        <v>376606</v>
      </c>
      <c r="F41" s="10">
        <v>956</v>
      </c>
      <c r="G41" s="10">
        <v>406</v>
      </c>
      <c r="H41" s="7">
        <v>0.98111428492193298</v>
      </c>
      <c r="I41" s="9">
        <v>0.99429470784969498</v>
      </c>
      <c r="J41" s="10">
        <v>0.99046712487926403</v>
      </c>
      <c r="K41" s="10">
        <v>0.98866216473623403</v>
      </c>
      <c r="L41" s="7">
        <v>0.97884498312026103</v>
      </c>
      <c r="M41" s="9">
        <v>0.99416823585621505</v>
      </c>
      <c r="N41" s="7">
        <v>0.98084147778470898</v>
      </c>
      <c r="O41" s="9">
        <v>0.99425255051853501</v>
      </c>
    </row>
    <row r="42" spans="1:15" x14ac:dyDescent="0.3">
      <c r="A42" s="22"/>
      <c r="B42" s="4">
        <f t="shared" si="1"/>
        <v>39</v>
      </c>
      <c r="C42" s="5" t="s">
        <v>46</v>
      </c>
      <c r="D42" s="10">
        <v>26658</v>
      </c>
      <c r="E42" s="10">
        <v>458750</v>
      </c>
      <c r="F42" s="10">
        <v>3291</v>
      </c>
      <c r="G42" s="10">
        <v>1134</v>
      </c>
      <c r="H42" s="7">
        <v>0.85763922401312598</v>
      </c>
      <c r="I42" s="9">
        <v>0.95919689119170903</v>
      </c>
      <c r="J42" s="10">
        <v>0.92336468020990203</v>
      </c>
      <c r="K42" s="10">
        <v>0.91857205748384596</v>
      </c>
      <c r="L42" s="7">
        <v>0.78886551113782799</v>
      </c>
      <c r="M42" s="9">
        <v>0.849920840529648</v>
      </c>
      <c r="N42" s="7">
        <v>0.75025909561991999</v>
      </c>
      <c r="O42" s="9">
        <v>0.98981721358664299</v>
      </c>
    </row>
    <row r="43" spans="1:15" x14ac:dyDescent="0.3">
      <c r="A43" s="22"/>
      <c r="B43" s="4">
        <f t="shared" si="1"/>
        <v>40</v>
      </c>
      <c r="C43" s="5" t="s">
        <v>47</v>
      </c>
      <c r="D43" s="10">
        <v>25967</v>
      </c>
      <c r="E43" s="10">
        <v>494628</v>
      </c>
      <c r="F43" s="10">
        <v>25761</v>
      </c>
      <c r="G43" s="10">
        <v>1280</v>
      </c>
      <c r="H43" s="7">
        <v>0.48986945366737</v>
      </c>
      <c r="I43" s="9">
        <v>0.95302235108452305</v>
      </c>
      <c r="J43" s="10">
        <v>0.65760050648939505</v>
      </c>
      <c r="K43" s="10">
        <v>0.63372809112581296</v>
      </c>
      <c r="L43" s="7">
        <v>0.49729094835751902</v>
      </c>
      <c r="M43" s="9">
        <v>0.96340881564942904</v>
      </c>
      <c r="N43" s="7">
        <v>0.687563012175891</v>
      </c>
      <c r="O43" s="9">
        <v>0.97614416266010895</v>
      </c>
    </row>
    <row r="44" spans="1:15" x14ac:dyDescent="0.3">
      <c r="A44" s="22"/>
      <c r="B44" s="4">
        <f t="shared" si="1"/>
        <v>41</v>
      </c>
      <c r="C44" s="5" t="s">
        <v>48</v>
      </c>
      <c r="D44" s="10">
        <v>31136</v>
      </c>
      <c r="E44" s="10">
        <v>405839</v>
      </c>
      <c r="F44" s="10">
        <v>16808</v>
      </c>
      <c r="G44" s="10">
        <v>830</v>
      </c>
      <c r="H44" s="7">
        <v>0.63837290359617804</v>
      </c>
      <c r="I44" s="9">
        <v>0.97403491209409998</v>
      </c>
      <c r="J44" s="10">
        <v>0.77927668627205604</v>
      </c>
      <c r="K44" s="10">
        <v>0.75893721066521103</v>
      </c>
      <c r="L44" s="7">
        <v>0.70879781673527897</v>
      </c>
      <c r="M44" s="9">
        <v>0.958737408496527</v>
      </c>
      <c r="N44" s="7">
        <v>0.56176304455270698</v>
      </c>
      <c r="O44" s="9">
        <v>0.99558906337984099</v>
      </c>
    </row>
    <row r="45" spans="1:15" x14ac:dyDescent="0.3">
      <c r="H45">
        <f>AVERAGE(H22:H44)</f>
        <v>0.85709055091239172</v>
      </c>
      <c r="I45">
        <f>AVERAGE(I22:I44)</f>
        <v>0.94729015840637831</v>
      </c>
      <c r="L45">
        <f>AVERAGE(L22:L44)</f>
        <v>0.83928800225441658</v>
      </c>
      <c r="M45">
        <f>AVERAGE(M22:M44)</f>
        <v>0.9295196044627293</v>
      </c>
      <c r="N45">
        <f>AVERAGE(N22:N44)</f>
        <v>0.7573552914307945</v>
      </c>
      <c r="O45">
        <f>AVERAGE(O22:O44)</f>
        <v>0.83662271760571161</v>
      </c>
    </row>
    <row r="47" spans="1:15" x14ac:dyDescent="0.3">
      <c r="H47" s="24" t="s">
        <v>61</v>
      </c>
      <c r="I47" s="24"/>
      <c r="L47" s="23" t="s">
        <v>53</v>
      </c>
      <c r="M47" s="23"/>
      <c r="N47" s="25" t="s">
        <v>63</v>
      </c>
      <c r="O47" s="25"/>
    </row>
    <row r="49" spans="8:15" x14ac:dyDescent="0.3">
      <c r="H49">
        <f>(H45+H20)/2</f>
        <v>0.79657159884544582</v>
      </c>
      <c r="I49">
        <f t="shared" ref="I49:O49" si="2">(I45+I20)/2</f>
        <v>0.92024002071525712</v>
      </c>
      <c r="L49">
        <f t="shared" si="2"/>
        <v>0.74480090552928302</v>
      </c>
      <c r="M49">
        <f t="shared" si="2"/>
        <v>0.87473164868179265</v>
      </c>
      <c r="N49">
        <f t="shared" si="2"/>
        <v>0.75142450630260504</v>
      </c>
      <c r="O49">
        <f t="shared" si="2"/>
        <v>0.87365102986868082</v>
      </c>
    </row>
  </sheetData>
  <mergeCells count="8">
    <mergeCell ref="H47:I47"/>
    <mergeCell ref="L47:M47"/>
    <mergeCell ref="N47:O47"/>
    <mergeCell ref="A2:A19"/>
    <mergeCell ref="H21:I21"/>
    <mergeCell ref="L21:M21"/>
    <mergeCell ref="N21:O21"/>
    <mergeCell ref="A22:A4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NCKU+KVGH</vt:lpstr>
      <vt:lpstr>20211101_NCKU</vt:lpstr>
      <vt:lpstr>20211104_KVGH</vt:lpstr>
      <vt:lpstr>工作表2</vt:lpstr>
      <vt:lpstr>20211105_MIX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2021-11-16T09:24:53Z</dcterms:modified>
</cp:coreProperties>
</file>